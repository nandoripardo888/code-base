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esktop\projetos\code-base\planilha\"/>
    </mc:Choice>
  </mc:AlternateContent>
  <xr:revisionPtr revIDLastSave="0" documentId="13_ncr:1_{66431119-54DC-476E-9C75-E685B98CCA76}" xr6:coauthVersionLast="47" xr6:coauthVersionMax="47" xr10:uidLastSave="{00000000-0000-0000-0000-000000000000}"/>
  <bookViews>
    <workbookView xWindow="5232" yWindow="4440" windowWidth="23040" windowHeight="12120" activeTab="2" xr2:uid="{A957A497-5683-4077-9D6A-7B42898CF5D1}"/>
  </bookViews>
  <sheets>
    <sheet name="Clientes" sheetId="3" r:id="rId1"/>
    <sheet name="Empréstimos" sheetId="4" r:id="rId2"/>
    <sheet name="Simulador" sheetId="5" r:id="rId3"/>
    <sheet name="Amortização" sheetId="6" r:id="rId4"/>
  </sheets>
  <definedNames>
    <definedName name="_xlnm._FilterDatabase" localSheetId="3" hidden="1">Amortização!$A$2:$G$362</definedName>
    <definedName name="ListaClientes">Clientes!$A$4:$A$203</definedName>
    <definedName name="ListaEmprestimos">Empréstimos!$A$4:$A$203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5" l="1"/>
  <c r="B15" i="5"/>
  <c r="B14" i="5"/>
  <c r="B13" i="5"/>
  <c r="A175" i="6" s="1"/>
  <c r="B12" i="5"/>
  <c r="B11" i="5"/>
  <c r="B10" i="5"/>
  <c r="B6" i="5"/>
  <c r="B28" i="5" s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L30" i="4"/>
  <c r="M30" i="4" s="1"/>
  <c r="L57" i="4"/>
  <c r="M57" i="4" s="1"/>
  <c r="L67" i="4"/>
  <c r="M67" i="4" s="1"/>
  <c r="K6" i="4"/>
  <c r="N6" i="4" s="1"/>
  <c r="K7" i="4"/>
  <c r="N7" i="4" s="1"/>
  <c r="K8" i="4"/>
  <c r="N8" i="4" s="1"/>
  <c r="K9" i="4"/>
  <c r="N9" i="4" s="1"/>
  <c r="K10" i="4"/>
  <c r="N10" i="4" s="1"/>
  <c r="K11" i="4"/>
  <c r="N11" i="4" s="1"/>
  <c r="K12" i="4"/>
  <c r="N12" i="4" s="1"/>
  <c r="K13" i="4"/>
  <c r="N13" i="4" s="1"/>
  <c r="K14" i="4"/>
  <c r="N14" i="4" s="1"/>
  <c r="K15" i="4"/>
  <c r="N15" i="4" s="1"/>
  <c r="K16" i="4"/>
  <c r="L16" i="4" s="1"/>
  <c r="M16" i="4" s="1"/>
  <c r="K17" i="4"/>
  <c r="L17" i="4" s="1"/>
  <c r="M17" i="4" s="1"/>
  <c r="K18" i="4"/>
  <c r="N18" i="4" s="1"/>
  <c r="K19" i="4"/>
  <c r="N19" i="4" s="1"/>
  <c r="K20" i="4"/>
  <c r="L20" i="4" s="1"/>
  <c r="M20" i="4" s="1"/>
  <c r="K21" i="4"/>
  <c r="N21" i="4" s="1"/>
  <c r="K22" i="4"/>
  <c r="N22" i="4" s="1"/>
  <c r="K23" i="4"/>
  <c r="N23" i="4" s="1"/>
  <c r="K24" i="4"/>
  <c r="N24" i="4" s="1"/>
  <c r="K25" i="4"/>
  <c r="N25" i="4" s="1"/>
  <c r="K26" i="4"/>
  <c r="N26" i="4" s="1"/>
  <c r="K27" i="4"/>
  <c r="N27" i="4" s="1"/>
  <c r="K28" i="4"/>
  <c r="L28" i="4" s="1"/>
  <c r="M28" i="4" s="1"/>
  <c r="K29" i="4"/>
  <c r="N29" i="4" s="1"/>
  <c r="K30" i="4"/>
  <c r="N30" i="4" s="1"/>
  <c r="K31" i="4"/>
  <c r="N31" i="4" s="1"/>
  <c r="K32" i="4"/>
  <c r="N32" i="4" s="1"/>
  <c r="K33" i="4"/>
  <c r="N33" i="4" s="1"/>
  <c r="K34" i="4"/>
  <c r="N34" i="4" s="1"/>
  <c r="K35" i="4"/>
  <c r="N35" i="4" s="1"/>
  <c r="K36" i="4"/>
  <c r="N36" i="4" s="1"/>
  <c r="K37" i="4"/>
  <c r="N37" i="4" s="1"/>
  <c r="K38" i="4"/>
  <c r="N38" i="4" s="1"/>
  <c r="K39" i="4"/>
  <c r="N39" i="4" s="1"/>
  <c r="K40" i="4"/>
  <c r="N40" i="4" s="1"/>
  <c r="K41" i="4"/>
  <c r="N41" i="4" s="1"/>
  <c r="K42" i="4"/>
  <c r="N42" i="4" s="1"/>
  <c r="K43" i="4"/>
  <c r="N43" i="4" s="1"/>
  <c r="K44" i="4"/>
  <c r="N44" i="4" s="1"/>
  <c r="K45" i="4"/>
  <c r="N45" i="4" s="1"/>
  <c r="K46" i="4"/>
  <c r="N46" i="4" s="1"/>
  <c r="K47" i="4"/>
  <c r="N47" i="4" s="1"/>
  <c r="K48" i="4"/>
  <c r="N48" i="4" s="1"/>
  <c r="K49" i="4"/>
  <c r="N49" i="4" s="1"/>
  <c r="K50" i="4"/>
  <c r="N50" i="4" s="1"/>
  <c r="K51" i="4"/>
  <c r="N51" i="4" s="1"/>
  <c r="K52" i="4"/>
  <c r="L52" i="4" s="1"/>
  <c r="M52" i="4" s="1"/>
  <c r="K53" i="4"/>
  <c r="L53" i="4" s="1"/>
  <c r="M53" i="4" s="1"/>
  <c r="K54" i="4"/>
  <c r="N54" i="4" s="1"/>
  <c r="K55" i="4"/>
  <c r="N55" i="4" s="1"/>
  <c r="K56" i="4"/>
  <c r="N56" i="4" s="1"/>
  <c r="K57" i="4"/>
  <c r="N57" i="4" s="1"/>
  <c r="K58" i="4"/>
  <c r="N58" i="4" s="1"/>
  <c r="K59" i="4"/>
  <c r="N59" i="4" s="1"/>
  <c r="K60" i="4"/>
  <c r="N60" i="4" s="1"/>
  <c r="K61" i="4"/>
  <c r="N61" i="4" s="1"/>
  <c r="K62" i="4"/>
  <c r="N62" i="4" s="1"/>
  <c r="K63" i="4"/>
  <c r="N63" i="4" s="1"/>
  <c r="K64" i="4"/>
  <c r="L64" i="4" s="1"/>
  <c r="M64" i="4" s="1"/>
  <c r="K65" i="4"/>
  <c r="N65" i="4" s="1"/>
  <c r="K66" i="4"/>
  <c r="N66" i="4" s="1"/>
  <c r="K67" i="4"/>
  <c r="N67" i="4" s="1"/>
  <c r="K68" i="4"/>
  <c r="L68" i="4" s="1"/>
  <c r="M68" i="4" s="1"/>
  <c r="K69" i="4"/>
  <c r="N69" i="4" s="1"/>
  <c r="K70" i="4"/>
  <c r="N70" i="4" s="1"/>
  <c r="K71" i="4"/>
  <c r="N71" i="4" s="1"/>
  <c r="K72" i="4"/>
  <c r="N72" i="4" s="1"/>
  <c r="K73" i="4"/>
  <c r="N73" i="4" s="1"/>
  <c r="K74" i="4"/>
  <c r="N74" i="4" s="1"/>
  <c r="K75" i="4"/>
  <c r="N75" i="4" s="1"/>
  <c r="K76" i="4"/>
  <c r="L76" i="4" s="1"/>
  <c r="M76" i="4" s="1"/>
  <c r="K77" i="4"/>
  <c r="N77" i="4" s="1"/>
  <c r="K78" i="4"/>
  <c r="N78" i="4" s="1"/>
  <c r="K79" i="4"/>
  <c r="N79" i="4" s="1"/>
  <c r="K80" i="4"/>
  <c r="N80" i="4" s="1"/>
  <c r="K81" i="4"/>
  <c r="N81" i="4" s="1"/>
  <c r="K82" i="4"/>
  <c r="N82" i="4" s="1"/>
  <c r="K83" i="4"/>
  <c r="N83" i="4" s="1"/>
  <c r="K84" i="4"/>
  <c r="N84" i="4" s="1"/>
  <c r="K85" i="4"/>
  <c r="N85" i="4" s="1"/>
  <c r="K86" i="4"/>
  <c r="N86" i="4" s="1"/>
  <c r="K87" i="4"/>
  <c r="N87" i="4" s="1"/>
  <c r="K88" i="4"/>
  <c r="N88" i="4" s="1"/>
  <c r="K89" i="4"/>
  <c r="N89" i="4" s="1"/>
  <c r="K90" i="4"/>
  <c r="N90" i="4" s="1"/>
  <c r="K91" i="4"/>
  <c r="N91" i="4" s="1"/>
  <c r="K92" i="4"/>
  <c r="N92" i="4" s="1"/>
  <c r="K93" i="4"/>
  <c r="N93" i="4" s="1"/>
  <c r="K94" i="4"/>
  <c r="N94" i="4" s="1"/>
  <c r="K95" i="4"/>
  <c r="N95" i="4" s="1"/>
  <c r="K96" i="4"/>
  <c r="N96" i="4" s="1"/>
  <c r="K97" i="4"/>
  <c r="N97" i="4" s="1"/>
  <c r="K98" i="4"/>
  <c r="N98" i="4" s="1"/>
  <c r="K99" i="4"/>
  <c r="N99" i="4" s="1"/>
  <c r="K100" i="4"/>
  <c r="N100" i="4" s="1"/>
  <c r="K101" i="4"/>
  <c r="L101" i="4" s="1"/>
  <c r="M101" i="4" s="1"/>
  <c r="K102" i="4"/>
  <c r="N102" i="4" s="1"/>
  <c r="K103" i="4"/>
  <c r="N103" i="4" s="1"/>
  <c r="K104" i="4"/>
  <c r="N104" i="4" s="1"/>
  <c r="K105" i="4"/>
  <c r="N105" i="4" s="1"/>
  <c r="K106" i="4"/>
  <c r="N106" i="4" s="1"/>
  <c r="K107" i="4"/>
  <c r="N107" i="4" s="1"/>
  <c r="K108" i="4"/>
  <c r="N108" i="4" s="1"/>
  <c r="K109" i="4"/>
  <c r="N109" i="4" s="1"/>
  <c r="K110" i="4"/>
  <c r="N110" i="4" s="1"/>
  <c r="K111" i="4"/>
  <c r="N111" i="4" s="1"/>
  <c r="K112" i="4"/>
  <c r="N112" i="4" s="1"/>
  <c r="K113" i="4"/>
  <c r="N113" i="4" s="1"/>
  <c r="K114" i="4"/>
  <c r="N114" i="4" s="1"/>
  <c r="K115" i="4"/>
  <c r="N115" i="4" s="1"/>
  <c r="K116" i="4"/>
  <c r="L116" i="4" s="1"/>
  <c r="M116" i="4" s="1"/>
  <c r="K117" i="4"/>
  <c r="N117" i="4" s="1"/>
  <c r="K118" i="4"/>
  <c r="N118" i="4" s="1"/>
  <c r="K119" i="4"/>
  <c r="N119" i="4" s="1"/>
  <c r="K120" i="4"/>
  <c r="N120" i="4" s="1"/>
  <c r="K121" i="4"/>
  <c r="N121" i="4" s="1"/>
  <c r="K122" i="4"/>
  <c r="N122" i="4" s="1"/>
  <c r="K123" i="4"/>
  <c r="N123" i="4" s="1"/>
  <c r="K124" i="4"/>
  <c r="N124" i="4" s="1"/>
  <c r="K125" i="4"/>
  <c r="N125" i="4" s="1"/>
  <c r="K126" i="4"/>
  <c r="N126" i="4" s="1"/>
  <c r="K127" i="4"/>
  <c r="N127" i="4" s="1"/>
  <c r="K128" i="4"/>
  <c r="N128" i="4" s="1"/>
  <c r="K129" i="4"/>
  <c r="N129" i="4" s="1"/>
  <c r="K130" i="4"/>
  <c r="N130" i="4" s="1"/>
  <c r="K131" i="4"/>
  <c r="N131" i="4" s="1"/>
  <c r="K132" i="4"/>
  <c r="N132" i="4" s="1"/>
  <c r="K133" i="4"/>
  <c r="N133" i="4" s="1"/>
  <c r="K134" i="4"/>
  <c r="N134" i="4" s="1"/>
  <c r="K135" i="4"/>
  <c r="N135" i="4" s="1"/>
  <c r="K136" i="4"/>
  <c r="N136" i="4" s="1"/>
  <c r="K137" i="4"/>
  <c r="N137" i="4" s="1"/>
  <c r="K138" i="4"/>
  <c r="N138" i="4" s="1"/>
  <c r="K139" i="4"/>
  <c r="N139" i="4" s="1"/>
  <c r="K140" i="4"/>
  <c r="N140" i="4" s="1"/>
  <c r="K141" i="4"/>
  <c r="N141" i="4" s="1"/>
  <c r="K142" i="4"/>
  <c r="N142" i="4" s="1"/>
  <c r="K143" i="4"/>
  <c r="N143" i="4" s="1"/>
  <c r="K144" i="4"/>
  <c r="N144" i="4" s="1"/>
  <c r="K145" i="4"/>
  <c r="N145" i="4" s="1"/>
  <c r="K146" i="4"/>
  <c r="N146" i="4" s="1"/>
  <c r="K147" i="4"/>
  <c r="N147" i="4" s="1"/>
  <c r="K148" i="4"/>
  <c r="N148" i="4" s="1"/>
  <c r="K149" i="4"/>
  <c r="N149" i="4" s="1"/>
  <c r="K150" i="4"/>
  <c r="N150" i="4" s="1"/>
  <c r="K151" i="4"/>
  <c r="N151" i="4" s="1"/>
  <c r="K152" i="4"/>
  <c r="N152" i="4" s="1"/>
  <c r="K153" i="4"/>
  <c r="N153" i="4" s="1"/>
  <c r="K154" i="4"/>
  <c r="N154" i="4" s="1"/>
  <c r="K155" i="4"/>
  <c r="N155" i="4" s="1"/>
  <c r="K156" i="4"/>
  <c r="N156" i="4" s="1"/>
  <c r="K157" i="4"/>
  <c r="N157" i="4" s="1"/>
  <c r="K158" i="4"/>
  <c r="L158" i="4" s="1"/>
  <c r="M158" i="4" s="1"/>
  <c r="K159" i="4"/>
  <c r="L159" i="4" s="1"/>
  <c r="M159" i="4" s="1"/>
  <c r="K160" i="4"/>
  <c r="L160" i="4" s="1"/>
  <c r="M160" i="4" s="1"/>
  <c r="K161" i="4"/>
  <c r="L161" i="4" s="1"/>
  <c r="M161" i="4" s="1"/>
  <c r="K162" i="4"/>
  <c r="N162" i="4" s="1"/>
  <c r="K163" i="4"/>
  <c r="N163" i="4" s="1"/>
  <c r="K164" i="4"/>
  <c r="N164" i="4" s="1"/>
  <c r="K165" i="4"/>
  <c r="N165" i="4" s="1"/>
  <c r="K166" i="4"/>
  <c r="N166" i="4" s="1"/>
  <c r="K167" i="4"/>
  <c r="N167" i="4" s="1"/>
  <c r="K168" i="4"/>
  <c r="N168" i="4" s="1"/>
  <c r="K169" i="4"/>
  <c r="N169" i="4" s="1"/>
  <c r="K170" i="4"/>
  <c r="N170" i="4" s="1"/>
  <c r="K171" i="4"/>
  <c r="N171" i="4" s="1"/>
  <c r="K172" i="4"/>
  <c r="N172" i="4" s="1"/>
  <c r="K173" i="4"/>
  <c r="N173" i="4" s="1"/>
  <c r="K174" i="4"/>
  <c r="N174" i="4" s="1"/>
  <c r="K175" i="4"/>
  <c r="N175" i="4" s="1"/>
  <c r="K176" i="4"/>
  <c r="N176" i="4" s="1"/>
  <c r="K177" i="4"/>
  <c r="N177" i="4" s="1"/>
  <c r="K178" i="4"/>
  <c r="N178" i="4" s="1"/>
  <c r="K179" i="4"/>
  <c r="N179" i="4" s="1"/>
  <c r="K180" i="4"/>
  <c r="N180" i="4" s="1"/>
  <c r="K181" i="4"/>
  <c r="N181" i="4" s="1"/>
  <c r="K182" i="4"/>
  <c r="L182" i="4" s="1"/>
  <c r="M182" i="4" s="1"/>
  <c r="K183" i="4"/>
  <c r="L183" i="4" s="1"/>
  <c r="M183" i="4" s="1"/>
  <c r="K184" i="4"/>
  <c r="L184" i="4" s="1"/>
  <c r="M184" i="4" s="1"/>
  <c r="K185" i="4"/>
  <c r="N185" i="4" s="1"/>
  <c r="K186" i="4"/>
  <c r="N186" i="4" s="1"/>
  <c r="K187" i="4"/>
  <c r="N187" i="4" s="1"/>
  <c r="K188" i="4"/>
  <c r="L188" i="4" s="1"/>
  <c r="M188" i="4" s="1"/>
  <c r="K189" i="4"/>
  <c r="N189" i="4" s="1"/>
  <c r="K190" i="4"/>
  <c r="N190" i="4" s="1"/>
  <c r="K191" i="4"/>
  <c r="N191" i="4" s="1"/>
  <c r="K192" i="4"/>
  <c r="N192" i="4" s="1"/>
  <c r="K193" i="4"/>
  <c r="N193" i="4" s="1"/>
  <c r="K194" i="4"/>
  <c r="L194" i="4" s="1"/>
  <c r="M194" i="4" s="1"/>
  <c r="K195" i="4"/>
  <c r="N195" i="4" s="1"/>
  <c r="K196" i="4"/>
  <c r="N196" i="4" s="1"/>
  <c r="K197" i="4"/>
  <c r="N197" i="4" s="1"/>
  <c r="K198" i="4"/>
  <c r="N198" i="4" s="1"/>
  <c r="K199" i="4"/>
  <c r="N199" i="4" s="1"/>
  <c r="K200" i="4"/>
  <c r="N200" i="4" s="1"/>
  <c r="K201" i="4"/>
  <c r="N201" i="4" s="1"/>
  <c r="K202" i="4"/>
  <c r="N202" i="4" s="1"/>
  <c r="K203" i="4"/>
  <c r="N203" i="4" s="1"/>
  <c r="J4" i="4"/>
  <c r="J5" i="4"/>
  <c r="K5" i="4" s="1"/>
  <c r="N5" i="4" s="1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L115" i="4" l="1"/>
  <c r="M115" i="4" s="1"/>
  <c r="L100" i="4"/>
  <c r="M100" i="4" s="1"/>
  <c r="N160" i="4"/>
  <c r="N76" i="4"/>
  <c r="N52" i="4"/>
  <c r="L174" i="4"/>
  <c r="M174" i="4" s="1"/>
  <c r="L148" i="4"/>
  <c r="M148" i="4" s="1"/>
  <c r="L126" i="4"/>
  <c r="M126" i="4" s="1"/>
  <c r="B18" i="5"/>
  <c r="B7" i="5"/>
  <c r="L177" i="4"/>
  <c r="M177" i="4" s="1"/>
  <c r="L150" i="4"/>
  <c r="M150" i="4" s="1"/>
  <c r="L124" i="4"/>
  <c r="M124" i="4" s="1"/>
  <c r="L91" i="4"/>
  <c r="M91" i="4" s="1"/>
  <c r="L65" i="4"/>
  <c r="M65" i="4" s="1"/>
  <c r="L33" i="4"/>
  <c r="M33" i="4" s="1"/>
  <c r="L6" i="4"/>
  <c r="M6" i="4" s="1"/>
  <c r="N184" i="4"/>
  <c r="N64" i="4"/>
  <c r="L175" i="4"/>
  <c r="M175" i="4" s="1"/>
  <c r="L149" i="4"/>
  <c r="M149" i="4" s="1"/>
  <c r="L117" i="4"/>
  <c r="M117" i="4" s="1"/>
  <c r="L90" i="4"/>
  <c r="M90" i="4" s="1"/>
  <c r="L31" i="4"/>
  <c r="M31" i="4" s="1"/>
  <c r="L5" i="4"/>
  <c r="M5" i="4" s="1"/>
  <c r="N161" i="4"/>
  <c r="N53" i="4"/>
  <c r="L89" i="4"/>
  <c r="M89" i="4" s="1"/>
  <c r="L199" i="4"/>
  <c r="M199" i="4" s="1"/>
  <c r="L173" i="4"/>
  <c r="M173" i="4" s="1"/>
  <c r="L141" i="4"/>
  <c r="M141" i="4" s="1"/>
  <c r="L114" i="4"/>
  <c r="M114" i="4" s="1"/>
  <c r="L88" i="4"/>
  <c r="M88" i="4" s="1"/>
  <c r="L55" i="4"/>
  <c r="M55" i="4" s="1"/>
  <c r="L29" i="4"/>
  <c r="M29" i="4" s="1"/>
  <c r="N28" i="4"/>
  <c r="L198" i="4"/>
  <c r="M198" i="4" s="1"/>
  <c r="L172" i="4"/>
  <c r="M172" i="4" s="1"/>
  <c r="L139" i="4"/>
  <c r="M139" i="4" s="1"/>
  <c r="L113" i="4"/>
  <c r="M113" i="4" s="1"/>
  <c r="L81" i="4"/>
  <c r="M81" i="4" s="1"/>
  <c r="L54" i="4"/>
  <c r="M54" i="4" s="1"/>
  <c r="N17" i="4"/>
  <c r="L197" i="4"/>
  <c r="M197" i="4" s="1"/>
  <c r="L165" i="4"/>
  <c r="M165" i="4" s="1"/>
  <c r="L138" i="4"/>
  <c r="M138" i="4" s="1"/>
  <c r="L112" i="4"/>
  <c r="M112" i="4" s="1"/>
  <c r="L79" i="4"/>
  <c r="M79" i="4" s="1"/>
  <c r="L21" i="4"/>
  <c r="M21" i="4" s="1"/>
  <c r="N16" i="4"/>
  <c r="L196" i="4"/>
  <c r="M196" i="4" s="1"/>
  <c r="L163" i="4"/>
  <c r="M163" i="4" s="1"/>
  <c r="L137" i="4"/>
  <c r="M137" i="4" s="1"/>
  <c r="L105" i="4"/>
  <c r="M105" i="4" s="1"/>
  <c r="L78" i="4"/>
  <c r="M78" i="4" s="1"/>
  <c r="L19" i="4"/>
  <c r="M19" i="4" s="1"/>
  <c r="L189" i="4"/>
  <c r="M189" i="4" s="1"/>
  <c r="L162" i="4"/>
  <c r="M162" i="4" s="1"/>
  <c r="L136" i="4"/>
  <c r="M136" i="4" s="1"/>
  <c r="L103" i="4"/>
  <c r="M103" i="4" s="1"/>
  <c r="L77" i="4"/>
  <c r="M77" i="4" s="1"/>
  <c r="L45" i="4"/>
  <c r="M45" i="4" s="1"/>
  <c r="L18" i="4"/>
  <c r="M18" i="4" s="1"/>
  <c r="L187" i="4"/>
  <c r="M187" i="4" s="1"/>
  <c r="L129" i="4"/>
  <c r="M129" i="4" s="1"/>
  <c r="L102" i="4"/>
  <c r="M102" i="4" s="1"/>
  <c r="L43" i="4"/>
  <c r="M43" i="4" s="1"/>
  <c r="N101" i="4"/>
  <c r="L186" i="4"/>
  <c r="M186" i="4" s="1"/>
  <c r="L127" i="4"/>
  <c r="M127" i="4" s="1"/>
  <c r="L69" i="4"/>
  <c r="M69" i="4" s="1"/>
  <c r="L42" i="4"/>
  <c r="M42" i="4" s="1"/>
  <c r="L185" i="4"/>
  <c r="M185" i="4" s="1"/>
  <c r="L153" i="4"/>
  <c r="M153" i="4" s="1"/>
  <c r="L41" i="4"/>
  <c r="M41" i="4" s="1"/>
  <c r="L9" i="4"/>
  <c r="M9" i="4" s="1"/>
  <c r="L151" i="4"/>
  <c r="M151" i="4" s="1"/>
  <c r="L125" i="4"/>
  <c r="M125" i="4" s="1"/>
  <c r="L93" i="4"/>
  <c r="M93" i="4" s="1"/>
  <c r="L66" i="4"/>
  <c r="M66" i="4" s="1"/>
  <c r="L40" i="4"/>
  <c r="M40" i="4" s="1"/>
  <c r="L7" i="4"/>
  <c r="M7" i="4" s="1"/>
  <c r="L203" i="4"/>
  <c r="M203" i="4" s="1"/>
  <c r="L191" i="4"/>
  <c r="M191" i="4" s="1"/>
  <c r="L179" i="4"/>
  <c r="M179" i="4" s="1"/>
  <c r="L167" i="4"/>
  <c r="M167" i="4" s="1"/>
  <c r="L155" i="4"/>
  <c r="M155" i="4" s="1"/>
  <c r="L143" i="4"/>
  <c r="M143" i="4" s="1"/>
  <c r="L131" i="4"/>
  <c r="M131" i="4" s="1"/>
  <c r="L119" i="4"/>
  <c r="M119" i="4" s="1"/>
  <c r="L107" i="4"/>
  <c r="M107" i="4" s="1"/>
  <c r="L95" i="4"/>
  <c r="M95" i="4" s="1"/>
  <c r="L83" i="4"/>
  <c r="M83" i="4" s="1"/>
  <c r="L71" i="4"/>
  <c r="M71" i="4" s="1"/>
  <c r="L59" i="4"/>
  <c r="M59" i="4" s="1"/>
  <c r="L47" i="4"/>
  <c r="M47" i="4" s="1"/>
  <c r="L35" i="4"/>
  <c r="M35" i="4" s="1"/>
  <c r="L23" i="4"/>
  <c r="M23" i="4" s="1"/>
  <c r="L11" i="4"/>
  <c r="M11" i="4" s="1"/>
  <c r="N194" i="4"/>
  <c r="L202" i="4"/>
  <c r="M202" i="4" s="1"/>
  <c r="L190" i="4"/>
  <c r="M190" i="4" s="1"/>
  <c r="L178" i="4"/>
  <c r="M178" i="4" s="1"/>
  <c r="L166" i="4"/>
  <c r="M166" i="4" s="1"/>
  <c r="L154" i="4"/>
  <c r="M154" i="4" s="1"/>
  <c r="L142" i="4"/>
  <c r="M142" i="4" s="1"/>
  <c r="L130" i="4"/>
  <c r="M130" i="4" s="1"/>
  <c r="L118" i="4"/>
  <c r="M118" i="4" s="1"/>
  <c r="L106" i="4"/>
  <c r="M106" i="4" s="1"/>
  <c r="L94" i="4"/>
  <c r="M94" i="4" s="1"/>
  <c r="L82" i="4"/>
  <c r="M82" i="4" s="1"/>
  <c r="L70" i="4"/>
  <c r="M70" i="4" s="1"/>
  <c r="L58" i="4"/>
  <c r="M58" i="4" s="1"/>
  <c r="L46" i="4"/>
  <c r="M46" i="4" s="1"/>
  <c r="L34" i="4"/>
  <c r="M34" i="4" s="1"/>
  <c r="L22" i="4"/>
  <c r="M22" i="4" s="1"/>
  <c r="L10" i="4"/>
  <c r="M10" i="4" s="1"/>
  <c r="N188" i="4"/>
  <c r="N116" i="4"/>
  <c r="N68" i="4"/>
  <c r="N20" i="4"/>
  <c r="L201" i="4"/>
  <c r="M201" i="4" s="1"/>
  <c r="N159" i="4"/>
  <c r="L200" i="4"/>
  <c r="M200" i="4" s="1"/>
  <c r="L176" i="4"/>
  <c r="M176" i="4" s="1"/>
  <c r="L164" i="4"/>
  <c r="M164" i="4" s="1"/>
  <c r="L152" i="4"/>
  <c r="M152" i="4" s="1"/>
  <c r="L140" i="4"/>
  <c r="M140" i="4" s="1"/>
  <c r="L128" i="4"/>
  <c r="M128" i="4" s="1"/>
  <c r="L104" i="4"/>
  <c r="M104" i="4" s="1"/>
  <c r="L92" i="4"/>
  <c r="M92" i="4" s="1"/>
  <c r="L80" i="4"/>
  <c r="M80" i="4" s="1"/>
  <c r="L56" i="4"/>
  <c r="M56" i="4" s="1"/>
  <c r="L44" i="4"/>
  <c r="M44" i="4" s="1"/>
  <c r="L32" i="4"/>
  <c r="M32" i="4" s="1"/>
  <c r="L8" i="4"/>
  <c r="M8" i="4" s="1"/>
  <c r="N158" i="4"/>
  <c r="N183" i="4"/>
  <c r="N182" i="4"/>
  <c r="F175" i="6"/>
  <c r="G175" i="6"/>
  <c r="B175" i="6"/>
  <c r="C175" i="6"/>
  <c r="D175" i="6"/>
  <c r="E175" i="6"/>
  <c r="L195" i="4"/>
  <c r="M195" i="4" s="1"/>
  <c r="L171" i="4"/>
  <c r="M171" i="4" s="1"/>
  <c r="L147" i="4"/>
  <c r="M147" i="4" s="1"/>
  <c r="L135" i="4"/>
  <c r="M135" i="4" s="1"/>
  <c r="L123" i="4"/>
  <c r="M123" i="4" s="1"/>
  <c r="L111" i="4"/>
  <c r="M111" i="4" s="1"/>
  <c r="L99" i="4"/>
  <c r="M99" i="4" s="1"/>
  <c r="L87" i="4"/>
  <c r="M87" i="4" s="1"/>
  <c r="L75" i="4"/>
  <c r="M75" i="4" s="1"/>
  <c r="L63" i="4"/>
  <c r="M63" i="4" s="1"/>
  <c r="L51" i="4"/>
  <c r="M51" i="4" s="1"/>
  <c r="L39" i="4"/>
  <c r="M39" i="4" s="1"/>
  <c r="L27" i="4"/>
  <c r="M27" i="4" s="1"/>
  <c r="L15" i="4"/>
  <c r="M15" i="4" s="1"/>
  <c r="L170" i="4"/>
  <c r="M170" i="4" s="1"/>
  <c r="L146" i="4"/>
  <c r="M146" i="4" s="1"/>
  <c r="L134" i="4"/>
  <c r="M134" i="4" s="1"/>
  <c r="L122" i="4"/>
  <c r="M122" i="4" s="1"/>
  <c r="L110" i="4"/>
  <c r="M110" i="4" s="1"/>
  <c r="L98" i="4"/>
  <c r="M98" i="4" s="1"/>
  <c r="L86" i="4"/>
  <c r="M86" i="4" s="1"/>
  <c r="L74" i="4"/>
  <c r="M74" i="4" s="1"/>
  <c r="L62" i="4"/>
  <c r="M62" i="4" s="1"/>
  <c r="L50" i="4"/>
  <c r="M50" i="4" s="1"/>
  <c r="L38" i="4"/>
  <c r="M38" i="4" s="1"/>
  <c r="L26" i="4"/>
  <c r="M26" i="4" s="1"/>
  <c r="L14" i="4"/>
  <c r="M14" i="4" s="1"/>
  <c r="L193" i="4"/>
  <c r="M193" i="4" s="1"/>
  <c r="L181" i="4"/>
  <c r="M181" i="4" s="1"/>
  <c r="L169" i="4"/>
  <c r="M169" i="4" s="1"/>
  <c r="L157" i="4"/>
  <c r="M157" i="4" s="1"/>
  <c r="L145" i="4"/>
  <c r="M145" i="4" s="1"/>
  <c r="L133" i="4"/>
  <c r="M133" i="4" s="1"/>
  <c r="L121" i="4"/>
  <c r="M121" i="4" s="1"/>
  <c r="L109" i="4"/>
  <c r="M109" i="4" s="1"/>
  <c r="L97" i="4"/>
  <c r="M97" i="4" s="1"/>
  <c r="L85" i="4"/>
  <c r="M85" i="4" s="1"/>
  <c r="L73" i="4"/>
  <c r="M73" i="4" s="1"/>
  <c r="L61" i="4"/>
  <c r="M61" i="4" s="1"/>
  <c r="L49" i="4"/>
  <c r="M49" i="4" s="1"/>
  <c r="L37" i="4"/>
  <c r="M37" i="4" s="1"/>
  <c r="L25" i="4"/>
  <c r="M25" i="4" s="1"/>
  <c r="L13" i="4"/>
  <c r="M13" i="4" s="1"/>
  <c r="K4" i="4"/>
  <c r="L192" i="4"/>
  <c r="M192" i="4" s="1"/>
  <c r="L180" i="4"/>
  <c r="M180" i="4" s="1"/>
  <c r="L168" i="4"/>
  <c r="M168" i="4" s="1"/>
  <c r="L156" i="4"/>
  <c r="M156" i="4" s="1"/>
  <c r="L144" i="4"/>
  <c r="M144" i="4" s="1"/>
  <c r="L132" i="4"/>
  <c r="M132" i="4" s="1"/>
  <c r="L120" i="4"/>
  <c r="M120" i="4" s="1"/>
  <c r="L108" i="4"/>
  <c r="M108" i="4" s="1"/>
  <c r="L96" i="4"/>
  <c r="M96" i="4" s="1"/>
  <c r="L84" i="4"/>
  <c r="M84" i="4" s="1"/>
  <c r="L72" i="4"/>
  <c r="M72" i="4" s="1"/>
  <c r="L60" i="4"/>
  <c r="M60" i="4" s="1"/>
  <c r="L48" i="4"/>
  <c r="M48" i="4" s="1"/>
  <c r="L36" i="4"/>
  <c r="M36" i="4" s="1"/>
  <c r="L24" i="4"/>
  <c r="M24" i="4" s="1"/>
  <c r="L12" i="4"/>
  <c r="M12" i="4" s="1"/>
  <c r="A362" i="6"/>
  <c r="A350" i="6"/>
  <c r="A318" i="6"/>
  <c r="A310" i="6"/>
  <c r="A291" i="6"/>
  <c r="A267" i="6"/>
  <c r="A235" i="6"/>
  <c r="A222" i="6"/>
  <c r="A355" i="6"/>
  <c r="A343" i="6"/>
  <c r="A315" i="6"/>
  <c r="A307" i="6"/>
  <c r="A284" i="6"/>
  <c r="A250" i="6"/>
  <c r="A240" i="6"/>
  <c r="A360" i="6"/>
  <c r="A348" i="6"/>
  <c r="A320" i="6"/>
  <c r="A312" i="6"/>
  <c r="A283" i="6"/>
  <c r="A262" i="6"/>
  <c r="A245" i="6"/>
  <c r="A5" i="6"/>
  <c r="A17" i="6"/>
  <c r="A29" i="6"/>
  <c r="A41" i="6"/>
  <c r="A53" i="6"/>
  <c r="A65" i="6"/>
  <c r="A77" i="6"/>
  <c r="A89" i="6"/>
  <c r="A12" i="6"/>
  <c r="A24" i="6"/>
  <c r="A36" i="6"/>
  <c r="A48" i="6"/>
  <c r="A60" i="6"/>
  <c r="A72" i="6"/>
  <c r="A84" i="6"/>
  <c r="A96" i="6"/>
  <c r="A108" i="6"/>
  <c r="A120" i="6"/>
  <c r="A132" i="6"/>
  <c r="A144" i="6"/>
  <c r="A7" i="6"/>
  <c r="A19" i="6"/>
  <c r="A31" i="6"/>
  <c r="A43" i="6"/>
  <c r="A55" i="6"/>
  <c r="A67" i="6"/>
  <c r="A79" i="6"/>
  <c r="A91" i="6"/>
  <c r="A103" i="6"/>
  <c r="A115" i="6"/>
  <c r="A127" i="6"/>
  <c r="A139" i="6"/>
  <c r="A3" i="6"/>
  <c r="A10" i="6"/>
  <c r="A40" i="6"/>
  <c r="A49" i="6"/>
  <c r="A58" i="6"/>
  <c r="A88" i="6"/>
  <c r="A97" i="6"/>
  <c r="A8" i="6"/>
  <c r="A38" i="6"/>
  <c r="A47" i="6"/>
  <c r="A56" i="6"/>
  <c r="A86" i="6"/>
  <c r="A95" i="6"/>
  <c r="A110" i="6"/>
  <c r="A112" i="6"/>
  <c r="A114" i="6"/>
  <c r="A116" i="6"/>
  <c r="A118" i="6"/>
  <c r="A154" i="6"/>
  <c r="A166" i="6"/>
  <c r="A178" i="6"/>
  <c r="A6" i="6"/>
  <c r="A15" i="6"/>
  <c r="A45" i="6"/>
  <c r="A54" i="6"/>
  <c r="A63" i="6"/>
  <c r="A93" i="6"/>
  <c r="A141" i="6"/>
  <c r="A4" i="6"/>
  <c r="A13" i="6"/>
  <c r="A22" i="6"/>
  <c r="A52" i="6"/>
  <c r="A61" i="6"/>
  <c r="A70" i="6"/>
  <c r="A100" i="6"/>
  <c r="A102" i="6"/>
  <c r="A104" i="6"/>
  <c r="A106" i="6"/>
  <c r="A11" i="6"/>
  <c r="A20" i="6"/>
  <c r="A50" i="6"/>
  <c r="A59" i="6"/>
  <c r="A68" i="6"/>
  <c r="A98" i="6"/>
  <c r="A129" i="6"/>
  <c r="A131" i="6"/>
  <c r="A133" i="6"/>
  <c r="A135" i="6"/>
  <c r="A137" i="6"/>
  <c r="A9" i="6"/>
  <c r="A18" i="6"/>
  <c r="A16" i="6"/>
  <c r="A25" i="6"/>
  <c r="A34" i="6"/>
  <c r="A27" i="6"/>
  <c r="A64" i="6"/>
  <c r="A83" i="6"/>
  <c r="A87" i="6"/>
  <c r="A113" i="6"/>
  <c r="A117" i="6"/>
  <c r="A157" i="6"/>
  <c r="A172" i="6"/>
  <c r="A183" i="6"/>
  <c r="A195" i="6"/>
  <c r="A207" i="6"/>
  <c r="A219" i="6"/>
  <c r="A231" i="6"/>
  <c r="A32" i="6"/>
  <c r="A44" i="6"/>
  <c r="A138" i="6"/>
  <c r="A159" i="6"/>
  <c r="A161" i="6"/>
  <c r="A174" i="6"/>
  <c r="A190" i="6"/>
  <c r="A202" i="6"/>
  <c r="A214" i="6"/>
  <c r="A226" i="6"/>
  <c r="A23" i="6"/>
  <c r="A57" i="6"/>
  <c r="A76" i="6"/>
  <c r="A80" i="6"/>
  <c r="A99" i="6"/>
  <c r="A121" i="6"/>
  <c r="A124" i="6"/>
  <c r="A148" i="6"/>
  <c r="A163" i="6"/>
  <c r="A176" i="6"/>
  <c r="A185" i="6"/>
  <c r="A197" i="6"/>
  <c r="A209" i="6"/>
  <c r="A221" i="6"/>
  <c r="A28" i="6"/>
  <c r="A37" i="6"/>
  <c r="A107" i="6"/>
  <c r="A146" i="6"/>
  <c r="A150" i="6"/>
  <c r="A165" i="6"/>
  <c r="A180" i="6"/>
  <c r="A192" i="6"/>
  <c r="A204" i="6"/>
  <c r="A216" i="6"/>
  <c r="A69" i="6"/>
  <c r="A73" i="6"/>
  <c r="A92" i="6"/>
  <c r="A125" i="6"/>
  <c r="A128" i="6"/>
  <c r="A152" i="6"/>
  <c r="A167" i="6"/>
  <c r="A33" i="6"/>
  <c r="A111" i="6"/>
  <c r="A156" i="6"/>
  <c r="A169" i="6"/>
  <c r="A14" i="6"/>
  <c r="A62" i="6"/>
  <c r="A66" i="6"/>
  <c r="A81" i="6"/>
  <c r="A85" i="6"/>
  <c r="A136" i="6"/>
  <c r="A42" i="6"/>
  <c r="A46" i="6"/>
  <c r="A30" i="6"/>
  <c r="A78" i="6"/>
  <c r="A101" i="6"/>
  <c r="A149" i="6"/>
  <c r="A184" i="6"/>
  <c r="A212" i="6"/>
  <c r="A220" i="6"/>
  <c r="A229" i="6"/>
  <c r="A242" i="6"/>
  <c r="A254" i="6"/>
  <c r="A266" i="6"/>
  <c r="A278" i="6"/>
  <c r="A290" i="6"/>
  <c r="A302" i="6"/>
  <c r="A314" i="6"/>
  <c r="A326" i="6"/>
  <c r="A338" i="6"/>
  <c r="A122" i="6"/>
  <c r="A164" i="6"/>
  <c r="A187" i="6"/>
  <c r="A215" i="6"/>
  <c r="A227" i="6"/>
  <c r="A237" i="6"/>
  <c r="A249" i="6"/>
  <c r="A261" i="6"/>
  <c r="A273" i="6"/>
  <c r="A285" i="6"/>
  <c r="A297" i="6"/>
  <c r="A309" i="6"/>
  <c r="A321" i="6"/>
  <c r="A333" i="6"/>
  <c r="A90" i="6"/>
  <c r="A153" i="6"/>
  <c r="A168" i="6"/>
  <c r="A182" i="6"/>
  <c r="A210" i="6"/>
  <c r="A218" i="6"/>
  <c r="A225" i="6"/>
  <c r="A244" i="6"/>
  <c r="A256" i="6"/>
  <c r="A268" i="6"/>
  <c r="A280" i="6"/>
  <c r="A292" i="6"/>
  <c r="A304" i="6"/>
  <c r="A316" i="6"/>
  <c r="A328" i="6"/>
  <c r="A35" i="6"/>
  <c r="A123" i="6"/>
  <c r="A130" i="6"/>
  <c r="A145" i="6"/>
  <c r="A179" i="6"/>
  <c r="A205" i="6"/>
  <c r="A213" i="6"/>
  <c r="A223" i="6"/>
  <c r="A232" i="6"/>
  <c r="A239" i="6"/>
  <c r="A251" i="6"/>
  <c r="A263" i="6"/>
  <c r="A275" i="6"/>
  <c r="A287" i="6"/>
  <c r="A299" i="6"/>
  <c r="A311" i="6"/>
  <c r="A323" i="6"/>
  <c r="A335" i="6"/>
  <c r="A51" i="6"/>
  <c r="A82" i="6"/>
  <c r="A105" i="6"/>
  <c r="A158" i="6"/>
  <c r="A173" i="6"/>
  <c r="A200" i="6"/>
  <c r="A208" i="6"/>
  <c r="A230" i="6"/>
  <c r="A234" i="6"/>
  <c r="A246" i="6"/>
  <c r="A258" i="6"/>
  <c r="A270" i="6"/>
  <c r="A282" i="6"/>
  <c r="A294" i="6"/>
  <c r="A306" i="6"/>
  <c r="A39" i="6"/>
  <c r="A140" i="6"/>
  <c r="A203" i="6"/>
  <c r="A211" i="6"/>
  <c r="A228" i="6"/>
  <c r="A241" i="6"/>
  <c r="A253" i="6"/>
  <c r="A265" i="6"/>
  <c r="A277" i="6"/>
  <c r="A289" i="6"/>
  <c r="A301" i="6"/>
  <c r="A21" i="6"/>
  <c r="A71" i="6"/>
  <c r="A94" i="6"/>
  <c r="A162" i="6"/>
  <c r="A198" i="6"/>
  <c r="A206" i="6"/>
  <c r="A236" i="6"/>
  <c r="A248" i="6"/>
  <c r="A260" i="6"/>
  <c r="A142" i="6"/>
  <c r="A147" i="6"/>
  <c r="A151" i="6"/>
  <c r="A177" i="6"/>
  <c r="A193" i="6"/>
  <c r="A201" i="6"/>
  <c r="A243" i="6"/>
  <c r="A74" i="6"/>
  <c r="A119" i="6"/>
  <c r="A126" i="6"/>
  <c r="A134" i="6"/>
  <c r="A188" i="6"/>
  <c r="A196" i="6"/>
  <c r="A26" i="6"/>
  <c r="A155" i="6"/>
  <c r="A170" i="6"/>
  <c r="A143" i="6"/>
  <c r="A160" i="6"/>
  <c r="A353" i="6"/>
  <c r="A341" i="6"/>
  <c r="A325" i="6"/>
  <c r="A317" i="6"/>
  <c r="A300" i="6"/>
  <c r="A276" i="6"/>
  <c r="A191" i="6"/>
  <c r="A358" i="6"/>
  <c r="A346" i="6"/>
  <c r="A330" i="6"/>
  <c r="A322" i="6"/>
  <c r="A293" i="6"/>
  <c r="A269" i="6"/>
  <c r="A257" i="6"/>
  <c r="A189" i="6"/>
  <c r="A351" i="6"/>
  <c r="A339" i="6"/>
  <c r="A337" i="6"/>
  <c r="A327" i="6"/>
  <c r="A319" i="6"/>
  <c r="A286" i="6"/>
  <c r="A171" i="6"/>
  <c r="A356" i="6"/>
  <c r="A344" i="6"/>
  <c r="A332" i="6"/>
  <c r="A324" i="6"/>
  <c r="A303" i="6"/>
  <c r="A279" i="6"/>
  <c r="A252" i="6"/>
  <c r="A233" i="6"/>
  <c r="A199" i="6"/>
  <c r="A109" i="6"/>
  <c r="A361" i="6"/>
  <c r="A349" i="6"/>
  <c r="A329" i="6"/>
  <c r="A296" i="6"/>
  <c r="A272" i="6"/>
  <c r="A264" i="6"/>
  <c r="A238" i="6"/>
  <c r="A217" i="6"/>
  <c r="A186" i="6"/>
  <c r="A354" i="6"/>
  <c r="A342" i="6"/>
  <c r="A334" i="6"/>
  <c r="A295" i="6"/>
  <c r="A271" i="6"/>
  <c r="A247" i="6"/>
  <c r="A359" i="6"/>
  <c r="A347" i="6"/>
  <c r="A331" i="6"/>
  <c r="A288" i="6"/>
  <c r="A259" i="6"/>
  <c r="A224" i="6"/>
  <c r="A75" i="6"/>
  <c r="A352" i="6"/>
  <c r="A340" i="6"/>
  <c r="A336" i="6"/>
  <c r="A308" i="6"/>
  <c r="A305" i="6"/>
  <c r="A281" i="6"/>
  <c r="A181" i="6"/>
  <c r="A357" i="6"/>
  <c r="A345" i="6"/>
  <c r="A313" i="6"/>
  <c r="A298" i="6"/>
  <c r="A274" i="6"/>
  <c r="A255" i="6"/>
  <c r="A194" i="6"/>
  <c r="D317" i="6" l="1"/>
  <c r="E317" i="6"/>
  <c r="F317" i="6"/>
  <c r="G317" i="6"/>
  <c r="B317" i="6"/>
  <c r="C317" i="6"/>
  <c r="G126" i="6"/>
  <c r="B126" i="6"/>
  <c r="C126" i="6"/>
  <c r="D126" i="6"/>
  <c r="E126" i="6"/>
  <c r="F126" i="6"/>
  <c r="G236" i="6"/>
  <c r="B236" i="6"/>
  <c r="C236" i="6"/>
  <c r="D236" i="6"/>
  <c r="E236" i="6"/>
  <c r="F236" i="6"/>
  <c r="B241" i="6"/>
  <c r="C241" i="6"/>
  <c r="D241" i="6"/>
  <c r="E241" i="6"/>
  <c r="F241" i="6"/>
  <c r="G241" i="6"/>
  <c r="B234" i="6"/>
  <c r="C234" i="6"/>
  <c r="D234" i="6"/>
  <c r="E234" i="6"/>
  <c r="F234" i="6"/>
  <c r="G234" i="6"/>
  <c r="B299" i="6"/>
  <c r="C299" i="6"/>
  <c r="D299" i="6"/>
  <c r="E299" i="6"/>
  <c r="F299" i="6"/>
  <c r="G299" i="6"/>
  <c r="C130" i="6"/>
  <c r="D130" i="6"/>
  <c r="B130" i="6"/>
  <c r="E130" i="6"/>
  <c r="F130" i="6"/>
  <c r="G130" i="6"/>
  <c r="B218" i="6"/>
  <c r="C218" i="6"/>
  <c r="D218" i="6"/>
  <c r="E218" i="6"/>
  <c r="F218" i="6"/>
  <c r="G218" i="6"/>
  <c r="B261" i="6"/>
  <c r="C261" i="6"/>
  <c r="D261" i="6"/>
  <c r="E261" i="6"/>
  <c r="F261" i="6"/>
  <c r="G261" i="6"/>
  <c r="B290" i="6"/>
  <c r="C290" i="6"/>
  <c r="D290" i="6"/>
  <c r="E290" i="6"/>
  <c r="F290" i="6"/>
  <c r="G290" i="6"/>
  <c r="F30" i="6"/>
  <c r="G30" i="6"/>
  <c r="E30" i="6"/>
  <c r="C30" i="6"/>
  <c r="D30" i="6"/>
  <c r="B30" i="6"/>
  <c r="B33" i="6"/>
  <c r="C33" i="6"/>
  <c r="D33" i="6"/>
  <c r="E33" i="6"/>
  <c r="F33" i="6"/>
  <c r="G33" i="6"/>
  <c r="B165" i="6"/>
  <c r="C165" i="6"/>
  <c r="D165" i="6"/>
  <c r="E165" i="6"/>
  <c r="F165" i="6"/>
  <c r="G165" i="6"/>
  <c r="G148" i="6"/>
  <c r="B148" i="6"/>
  <c r="C148" i="6"/>
  <c r="D148" i="6"/>
  <c r="F148" i="6"/>
  <c r="E148" i="6"/>
  <c r="E174" i="6"/>
  <c r="B174" i="6"/>
  <c r="C174" i="6"/>
  <c r="D174" i="6"/>
  <c r="F174" i="6"/>
  <c r="G174" i="6"/>
  <c r="D157" i="6"/>
  <c r="B157" i="6"/>
  <c r="C157" i="6"/>
  <c r="E157" i="6"/>
  <c r="F157" i="6"/>
  <c r="G157" i="6"/>
  <c r="B137" i="6"/>
  <c r="C137" i="6"/>
  <c r="G137" i="6"/>
  <c r="E137" i="6"/>
  <c r="F137" i="6"/>
  <c r="D137" i="6"/>
  <c r="E104" i="6"/>
  <c r="F104" i="6"/>
  <c r="B104" i="6"/>
  <c r="C104" i="6"/>
  <c r="D104" i="6"/>
  <c r="G104" i="6"/>
  <c r="F54" i="6"/>
  <c r="G54" i="6"/>
  <c r="B54" i="6"/>
  <c r="C54" i="6"/>
  <c r="D54" i="6"/>
  <c r="E54" i="6"/>
  <c r="G95" i="6"/>
  <c r="B95" i="6"/>
  <c r="C95" i="6"/>
  <c r="D95" i="6"/>
  <c r="E95" i="6"/>
  <c r="F95" i="6"/>
  <c r="B3" i="6"/>
  <c r="C3" i="6"/>
  <c r="D3" i="6" s="1"/>
  <c r="B7" i="6"/>
  <c r="B12" i="6"/>
  <c r="C312" i="6"/>
  <c r="D312" i="6"/>
  <c r="E312" i="6"/>
  <c r="F312" i="6"/>
  <c r="B312" i="6"/>
  <c r="G312" i="6"/>
  <c r="D222" i="6"/>
  <c r="E222" i="6"/>
  <c r="F222" i="6"/>
  <c r="B222" i="6"/>
  <c r="C222" i="6"/>
  <c r="G222" i="6"/>
  <c r="B19" i="5"/>
  <c r="L4" i="4"/>
  <c r="N4" i="4"/>
  <c r="B22" i="5" s="1"/>
  <c r="G189" i="6"/>
  <c r="B189" i="6"/>
  <c r="C189" i="6"/>
  <c r="D189" i="6"/>
  <c r="E189" i="6"/>
  <c r="F189" i="6"/>
  <c r="B287" i="6"/>
  <c r="C287" i="6"/>
  <c r="F287" i="6"/>
  <c r="G287" i="6"/>
  <c r="D287" i="6"/>
  <c r="E287" i="6"/>
  <c r="D123" i="6"/>
  <c r="E123" i="6"/>
  <c r="F123" i="6"/>
  <c r="G123" i="6"/>
  <c r="B123" i="6"/>
  <c r="C123" i="6"/>
  <c r="D210" i="6"/>
  <c r="E210" i="6"/>
  <c r="F210" i="6"/>
  <c r="G210" i="6"/>
  <c r="B210" i="6"/>
  <c r="C210" i="6"/>
  <c r="B249" i="6"/>
  <c r="C249" i="6"/>
  <c r="D249" i="6"/>
  <c r="E249" i="6"/>
  <c r="F249" i="6"/>
  <c r="G249" i="6"/>
  <c r="B278" i="6"/>
  <c r="C278" i="6"/>
  <c r="D278" i="6"/>
  <c r="E278" i="6"/>
  <c r="F278" i="6"/>
  <c r="G278" i="6"/>
  <c r="B46" i="6"/>
  <c r="C46" i="6"/>
  <c r="D46" i="6"/>
  <c r="G46" i="6"/>
  <c r="E46" i="6"/>
  <c r="F46" i="6"/>
  <c r="F167" i="6"/>
  <c r="B167" i="6"/>
  <c r="E167" i="6"/>
  <c r="G167" i="6"/>
  <c r="C167" i="6"/>
  <c r="D167" i="6"/>
  <c r="E150" i="6"/>
  <c r="B150" i="6"/>
  <c r="C150" i="6"/>
  <c r="D150" i="6"/>
  <c r="F150" i="6"/>
  <c r="G150" i="6"/>
  <c r="B124" i="6"/>
  <c r="C124" i="6"/>
  <c r="D124" i="6"/>
  <c r="E124" i="6"/>
  <c r="F124" i="6"/>
  <c r="G124" i="6"/>
  <c r="B161" i="6"/>
  <c r="C161" i="6"/>
  <c r="D161" i="6"/>
  <c r="E161" i="6"/>
  <c r="F161" i="6"/>
  <c r="G161" i="6"/>
  <c r="G117" i="6"/>
  <c r="B117" i="6"/>
  <c r="C117" i="6"/>
  <c r="D117" i="6"/>
  <c r="E117" i="6"/>
  <c r="F117" i="6"/>
  <c r="D135" i="6"/>
  <c r="E135" i="6"/>
  <c r="B135" i="6"/>
  <c r="C135" i="6"/>
  <c r="F135" i="6"/>
  <c r="G135" i="6"/>
  <c r="G102" i="6"/>
  <c r="B102" i="6"/>
  <c r="E102" i="6"/>
  <c r="F102" i="6"/>
  <c r="C102" i="6"/>
  <c r="D102" i="6"/>
  <c r="B45" i="6"/>
  <c r="C45" i="6"/>
  <c r="D45" i="6"/>
  <c r="E45" i="6"/>
  <c r="F45" i="6"/>
  <c r="G45" i="6"/>
  <c r="B86" i="6"/>
  <c r="C86" i="6"/>
  <c r="D86" i="6"/>
  <c r="E86" i="6"/>
  <c r="G86" i="6"/>
  <c r="F86" i="6"/>
  <c r="B139" i="6"/>
  <c r="C139" i="6"/>
  <c r="D139" i="6"/>
  <c r="E139" i="6"/>
  <c r="F139" i="6"/>
  <c r="G139" i="6"/>
  <c r="B144" i="6"/>
  <c r="G144" i="6"/>
  <c r="C144" i="6"/>
  <c r="D144" i="6"/>
  <c r="E144" i="6"/>
  <c r="F144" i="6"/>
  <c r="B89" i="6"/>
  <c r="C89" i="6"/>
  <c r="D89" i="6"/>
  <c r="E89" i="6"/>
  <c r="F89" i="6"/>
  <c r="G89" i="6"/>
  <c r="G320" i="6"/>
  <c r="D320" i="6"/>
  <c r="E320" i="6"/>
  <c r="F320" i="6"/>
  <c r="B320" i="6"/>
  <c r="C320" i="6"/>
  <c r="B235" i="6"/>
  <c r="C235" i="6"/>
  <c r="D235" i="6"/>
  <c r="E235" i="6"/>
  <c r="F235" i="6"/>
  <c r="G235" i="6"/>
  <c r="C217" i="6"/>
  <c r="D217" i="6"/>
  <c r="E217" i="6"/>
  <c r="F217" i="6"/>
  <c r="B217" i="6"/>
  <c r="G217" i="6"/>
  <c r="E325" i="6"/>
  <c r="F325" i="6"/>
  <c r="G325" i="6"/>
  <c r="B325" i="6"/>
  <c r="C325" i="6"/>
  <c r="D325" i="6"/>
  <c r="C324" i="6"/>
  <c r="D324" i="6"/>
  <c r="E324" i="6"/>
  <c r="F324" i="6"/>
  <c r="B324" i="6"/>
  <c r="G324" i="6"/>
  <c r="D257" i="6"/>
  <c r="E257" i="6"/>
  <c r="F257" i="6"/>
  <c r="G257" i="6"/>
  <c r="B257" i="6"/>
  <c r="C257" i="6"/>
  <c r="E341" i="6"/>
  <c r="F341" i="6"/>
  <c r="G341" i="6"/>
  <c r="B341" i="6"/>
  <c r="C341" i="6"/>
  <c r="D341" i="6"/>
  <c r="C74" i="6"/>
  <c r="D74" i="6"/>
  <c r="E74" i="6"/>
  <c r="F74" i="6"/>
  <c r="G74" i="6"/>
  <c r="B74" i="6"/>
  <c r="D198" i="6"/>
  <c r="E198" i="6"/>
  <c r="F198" i="6"/>
  <c r="G198" i="6"/>
  <c r="B198" i="6"/>
  <c r="C198" i="6"/>
  <c r="B211" i="6"/>
  <c r="C211" i="6"/>
  <c r="D211" i="6"/>
  <c r="E211" i="6"/>
  <c r="F211" i="6"/>
  <c r="G211" i="6"/>
  <c r="F208" i="6"/>
  <c r="G208" i="6"/>
  <c r="B208" i="6"/>
  <c r="C208" i="6"/>
  <c r="D208" i="6"/>
  <c r="E208" i="6"/>
  <c r="B275" i="6"/>
  <c r="C275" i="6"/>
  <c r="D275" i="6"/>
  <c r="E275" i="6"/>
  <c r="F275" i="6"/>
  <c r="G275" i="6"/>
  <c r="G35" i="6"/>
  <c r="C35" i="6"/>
  <c r="D35" i="6"/>
  <c r="E35" i="6"/>
  <c r="F35" i="6"/>
  <c r="B35" i="6"/>
  <c r="B182" i="6"/>
  <c r="C182" i="6"/>
  <c r="D182" i="6"/>
  <c r="E182" i="6"/>
  <c r="F182" i="6"/>
  <c r="G182" i="6"/>
  <c r="B237" i="6"/>
  <c r="C237" i="6"/>
  <c r="D237" i="6"/>
  <c r="E237" i="6"/>
  <c r="F237" i="6"/>
  <c r="G237" i="6"/>
  <c r="B266" i="6"/>
  <c r="C266" i="6"/>
  <c r="D266" i="6"/>
  <c r="E266" i="6"/>
  <c r="F266" i="6"/>
  <c r="G266" i="6"/>
  <c r="F42" i="6"/>
  <c r="G42" i="6"/>
  <c r="B42" i="6"/>
  <c r="C42" i="6"/>
  <c r="D42" i="6"/>
  <c r="E42" i="6"/>
  <c r="C152" i="6"/>
  <c r="B152" i="6"/>
  <c r="F152" i="6"/>
  <c r="G152" i="6"/>
  <c r="E152" i="6"/>
  <c r="D152" i="6"/>
  <c r="G146" i="6"/>
  <c r="B146" i="6"/>
  <c r="C146" i="6"/>
  <c r="D146" i="6"/>
  <c r="E146" i="6"/>
  <c r="F146" i="6"/>
  <c r="F121" i="6"/>
  <c r="G121" i="6"/>
  <c r="B121" i="6"/>
  <c r="C121" i="6"/>
  <c r="D121" i="6"/>
  <c r="E121" i="6"/>
  <c r="B159" i="6"/>
  <c r="C159" i="6"/>
  <c r="D159" i="6"/>
  <c r="E159" i="6"/>
  <c r="F159" i="6"/>
  <c r="G159" i="6"/>
  <c r="B113" i="6"/>
  <c r="C113" i="6"/>
  <c r="G113" i="6"/>
  <c r="D113" i="6"/>
  <c r="E113" i="6"/>
  <c r="F113" i="6"/>
  <c r="F133" i="6"/>
  <c r="G133" i="6"/>
  <c r="B133" i="6"/>
  <c r="C133" i="6"/>
  <c r="D133" i="6"/>
  <c r="E133" i="6"/>
  <c r="B100" i="6"/>
  <c r="C100" i="6"/>
  <c r="D100" i="6"/>
  <c r="E100" i="6"/>
  <c r="F100" i="6"/>
  <c r="G100" i="6"/>
  <c r="B15" i="6"/>
  <c r="D56" i="6"/>
  <c r="E56" i="6"/>
  <c r="F56" i="6"/>
  <c r="B56" i="6"/>
  <c r="C56" i="6"/>
  <c r="G56" i="6"/>
  <c r="D127" i="6"/>
  <c r="E127" i="6"/>
  <c r="F127" i="6"/>
  <c r="G127" i="6"/>
  <c r="B127" i="6"/>
  <c r="C127" i="6"/>
  <c r="B132" i="6"/>
  <c r="D132" i="6"/>
  <c r="E132" i="6"/>
  <c r="F132" i="6"/>
  <c r="G132" i="6"/>
  <c r="C132" i="6"/>
  <c r="B77" i="6"/>
  <c r="C77" i="6"/>
  <c r="D77" i="6"/>
  <c r="E77" i="6"/>
  <c r="F77" i="6"/>
  <c r="G77" i="6"/>
  <c r="D348" i="6"/>
  <c r="E348" i="6"/>
  <c r="F348" i="6"/>
  <c r="G348" i="6"/>
  <c r="B348" i="6"/>
  <c r="C348" i="6"/>
  <c r="F267" i="6"/>
  <c r="G267" i="6"/>
  <c r="B267" i="6"/>
  <c r="C267" i="6"/>
  <c r="D267" i="6"/>
  <c r="E267" i="6"/>
  <c r="F303" i="6"/>
  <c r="G303" i="6"/>
  <c r="B303" i="6"/>
  <c r="C303" i="6"/>
  <c r="D303" i="6"/>
  <c r="E303" i="6"/>
  <c r="E353" i="6"/>
  <c r="F353" i="6"/>
  <c r="G353" i="6"/>
  <c r="B353" i="6"/>
  <c r="C353" i="6"/>
  <c r="D353" i="6"/>
  <c r="F243" i="6"/>
  <c r="G243" i="6"/>
  <c r="B243" i="6"/>
  <c r="C243" i="6"/>
  <c r="D243" i="6"/>
  <c r="E243" i="6"/>
  <c r="E162" i="6"/>
  <c r="F162" i="6"/>
  <c r="G162" i="6"/>
  <c r="B162" i="6"/>
  <c r="C162" i="6"/>
  <c r="D162" i="6"/>
  <c r="E203" i="6"/>
  <c r="F203" i="6"/>
  <c r="G203" i="6"/>
  <c r="B203" i="6"/>
  <c r="C203" i="6"/>
  <c r="D203" i="6"/>
  <c r="B200" i="6"/>
  <c r="C200" i="6"/>
  <c r="D200" i="6"/>
  <c r="E200" i="6"/>
  <c r="F200" i="6"/>
  <c r="G200" i="6"/>
  <c r="B263" i="6"/>
  <c r="C263" i="6"/>
  <c r="D263" i="6"/>
  <c r="E263" i="6"/>
  <c r="F263" i="6"/>
  <c r="G263" i="6"/>
  <c r="B328" i="6"/>
  <c r="D328" i="6"/>
  <c r="E328" i="6"/>
  <c r="F328" i="6"/>
  <c r="G328" i="6"/>
  <c r="C328" i="6"/>
  <c r="C168" i="6"/>
  <c r="D168" i="6"/>
  <c r="E168" i="6"/>
  <c r="F168" i="6"/>
  <c r="G168" i="6"/>
  <c r="B168" i="6"/>
  <c r="E227" i="6"/>
  <c r="F227" i="6"/>
  <c r="G227" i="6"/>
  <c r="B227" i="6"/>
  <c r="C227" i="6"/>
  <c r="D227" i="6"/>
  <c r="B254" i="6"/>
  <c r="C254" i="6"/>
  <c r="D254" i="6"/>
  <c r="E254" i="6"/>
  <c r="F254" i="6"/>
  <c r="G254" i="6"/>
  <c r="D136" i="6"/>
  <c r="E136" i="6"/>
  <c r="F136" i="6"/>
  <c r="G136" i="6"/>
  <c r="B136" i="6"/>
  <c r="C136" i="6"/>
  <c r="E128" i="6"/>
  <c r="F128" i="6"/>
  <c r="B128" i="6"/>
  <c r="C128" i="6"/>
  <c r="D128" i="6"/>
  <c r="G128" i="6"/>
  <c r="E107" i="6"/>
  <c r="F107" i="6"/>
  <c r="G107" i="6"/>
  <c r="B107" i="6"/>
  <c r="C107" i="6"/>
  <c r="D107" i="6"/>
  <c r="C99" i="6"/>
  <c r="D99" i="6"/>
  <c r="E99" i="6"/>
  <c r="B99" i="6"/>
  <c r="F99" i="6"/>
  <c r="G99" i="6"/>
  <c r="G138" i="6"/>
  <c r="D138" i="6"/>
  <c r="E138" i="6"/>
  <c r="F138" i="6"/>
  <c r="B138" i="6"/>
  <c r="C138" i="6"/>
  <c r="C87" i="6"/>
  <c r="D87" i="6"/>
  <c r="E87" i="6"/>
  <c r="B87" i="6"/>
  <c r="F87" i="6"/>
  <c r="G87" i="6"/>
  <c r="B131" i="6"/>
  <c r="C131" i="6"/>
  <c r="D131" i="6"/>
  <c r="E131" i="6"/>
  <c r="F131" i="6"/>
  <c r="G131" i="6"/>
  <c r="B70" i="6"/>
  <c r="C70" i="6"/>
  <c r="D70" i="6"/>
  <c r="E70" i="6"/>
  <c r="F70" i="6"/>
  <c r="G70" i="6"/>
  <c r="B6" i="6"/>
  <c r="G47" i="6"/>
  <c r="B47" i="6"/>
  <c r="C47" i="6"/>
  <c r="D47" i="6"/>
  <c r="E47" i="6"/>
  <c r="F47" i="6"/>
  <c r="G115" i="6"/>
  <c r="B115" i="6"/>
  <c r="C115" i="6"/>
  <c r="D115" i="6"/>
  <c r="E115" i="6"/>
  <c r="F115" i="6"/>
  <c r="B120" i="6"/>
  <c r="C120" i="6"/>
  <c r="D120" i="6"/>
  <c r="E120" i="6"/>
  <c r="F120" i="6"/>
  <c r="G120" i="6"/>
  <c r="B65" i="6"/>
  <c r="C65" i="6"/>
  <c r="D65" i="6"/>
  <c r="E65" i="6"/>
  <c r="F65" i="6"/>
  <c r="G65" i="6"/>
  <c r="D360" i="6"/>
  <c r="E360" i="6"/>
  <c r="F360" i="6"/>
  <c r="G360" i="6"/>
  <c r="B360" i="6"/>
  <c r="C360" i="6"/>
  <c r="F291" i="6"/>
  <c r="G291" i="6"/>
  <c r="B291" i="6"/>
  <c r="C291" i="6"/>
  <c r="D291" i="6"/>
  <c r="E291" i="6"/>
  <c r="B345" i="6"/>
  <c r="C345" i="6"/>
  <c r="D345" i="6"/>
  <c r="E345" i="6"/>
  <c r="F345" i="6"/>
  <c r="G345" i="6"/>
  <c r="G119" i="6"/>
  <c r="F119" i="6"/>
  <c r="E119" i="6"/>
  <c r="B119" i="6"/>
  <c r="D119" i="6"/>
  <c r="C119" i="6"/>
  <c r="C181" i="6"/>
  <c r="D181" i="6"/>
  <c r="E181" i="6"/>
  <c r="F181" i="6"/>
  <c r="B181" i="6"/>
  <c r="G181" i="6"/>
  <c r="G296" i="6"/>
  <c r="B296" i="6"/>
  <c r="C296" i="6"/>
  <c r="D296" i="6"/>
  <c r="E296" i="6"/>
  <c r="F296" i="6"/>
  <c r="G173" i="6"/>
  <c r="B173" i="6"/>
  <c r="C173" i="6"/>
  <c r="D173" i="6"/>
  <c r="E173" i="6"/>
  <c r="F173" i="6"/>
  <c r="B125" i="6"/>
  <c r="C125" i="6"/>
  <c r="D125" i="6"/>
  <c r="E125" i="6"/>
  <c r="F125" i="6"/>
  <c r="G125" i="6"/>
  <c r="E37" i="6"/>
  <c r="F37" i="6"/>
  <c r="G37" i="6"/>
  <c r="D37" i="6"/>
  <c r="B37" i="6"/>
  <c r="C37" i="6"/>
  <c r="D80" i="6"/>
  <c r="E80" i="6"/>
  <c r="F80" i="6"/>
  <c r="B80" i="6"/>
  <c r="C80" i="6"/>
  <c r="G80" i="6"/>
  <c r="D44" i="6"/>
  <c r="E44" i="6"/>
  <c r="F44" i="6"/>
  <c r="C44" i="6"/>
  <c r="G44" i="6"/>
  <c r="B44" i="6"/>
  <c r="G83" i="6"/>
  <c r="C83" i="6"/>
  <c r="D83" i="6"/>
  <c r="E83" i="6"/>
  <c r="F83" i="6"/>
  <c r="B83" i="6"/>
  <c r="B129" i="6"/>
  <c r="C129" i="6"/>
  <c r="E129" i="6"/>
  <c r="F129" i="6"/>
  <c r="G129" i="6"/>
  <c r="D129" i="6"/>
  <c r="E61" i="6"/>
  <c r="F61" i="6"/>
  <c r="G61" i="6"/>
  <c r="B61" i="6"/>
  <c r="C61" i="6"/>
  <c r="D61" i="6"/>
  <c r="B178" i="6"/>
  <c r="C178" i="6"/>
  <c r="E178" i="6"/>
  <c r="F178" i="6"/>
  <c r="G178" i="6"/>
  <c r="D178" i="6"/>
  <c r="B38" i="6"/>
  <c r="C38" i="6"/>
  <c r="D38" i="6"/>
  <c r="E38" i="6"/>
  <c r="F38" i="6"/>
  <c r="G38" i="6"/>
  <c r="E103" i="6"/>
  <c r="F103" i="6"/>
  <c r="G103" i="6"/>
  <c r="B103" i="6"/>
  <c r="C103" i="6"/>
  <c r="D103" i="6"/>
  <c r="B108" i="6"/>
  <c r="C108" i="6"/>
  <c r="D108" i="6"/>
  <c r="E108" i="6"/>
  <c r="F108" i="6"/>
  <c r="G108" i="6"/>
  <c r="B53" i="6"/>
  <c r="C53" i="6"/>
  <c r="F53" i="6"/>
  <c r="G53" i="6"/>
  <c r="D53" i="6"/>
  <c r="E53" i="6"/>
  <c r="E310" i="6"/>
  <c r="F310" i="6"/>
  <c r="G310" i="6"/>
  <c r="B310" i="6"/>
  <c r="C310" i="6"/>
  <c r="D310" i="6"/>
  <c r="G206" i="6"/>
  <c r="B206" i="6"/>
  <c r="C206" i="6"/>
  <c r="D206" i="6"/>
  <c r="E206" i="6"/>
  <c r="F206" i="6"/>
  <c r="G332" i="6"/>
  <c r="B332" i="6"/>
  <c r="C332" i="6"/>
  <c r="D332" i="6"/>
  <c r="E332" i="6"/>
  <c r="F332" i="6"/>
  <c r="G160" i="6"/>
  <c r="F160" i="6"/>
  <c r="B160" i="6"/>
  <c r="C160" i="6"/>
  <c r="D160" i="6"/>
  <c r="E160" i="6"/>
  <c r="E215" i="6"/>
  <c r="F215" i="6"/>
  <c r="G215" i="6"/>
  <c r="B215" i="6"/>
  <c r="C215" i="6"/>
  <c r="D215" i="6"/>
  <c r="B356" i="6"/>
  <c r="C356" i="6"/>
  <c r="D356" i="6"/>
  <c r="E356" i="6"/>
  <c r="F356" i="6"/>
  <c r="G356" i="6"/>
  <c r="C193" i="6"/>
  <c r="D193" i="6"/>
  <c r="E193" i="6"/>
  <c r="F193" i="6"/>
  <c r="B193" i="6"/>
  <c r="G193" i="6"/>
  <c r="G71" i="6"/>
  <c r="F71" i="6"/>
  <c r="C71" i="6"/>
  <c r="D71" i="6"/>
  <c r="E71" i="6"/>
  <c r="B71" i="6"/>
  <c r="C39" i="6"/>
  <c r="D39" i="6"/>
  <c r="E39" i="6"/>
  <c r="G39" i="6"/>
  <c r="B39" i="6"/>
  <c r="F39" i="6"/>
  <c r="G158" i="6"/>
  <c r="B158" i="6"/>
  <c r="C158" i="6"/>
  <c r="D158" i="6"/>
  <c r="E158" i="6"/>
  <c r="F158" i="6"/>
  <c r="B239" i="6"/>
  <c r="C239" i="6"/>
  <c r="D239" i="6"/>
  <c r="E239" i="6"/>
  <c r="F239" i="6"/>
  <c r="G239" i="6"/>
  <c r="B304" i="6"/>
  <c r="C304" i="6"/>
  <c r="D304" i="6"/>
  <c r="G304" i="6"/>
  <c r="E304" i="6"/>
  <c r="F304" i="6"/>
  <c r="F90" i="6"/>
  <c r="G90" i="6"/>
  <c r="B90" i="6"/>
  <c r="C90" i="6"/>
  <c r="D90" i="6"/>
  <c r="E90" i="6"/>
  <c r="B187" i="6"/>
  <c r="C187" i="6"/>
  <c r="D187" i="6"/>
  <c r="E187" i="6"/>
  <c r="F187" i="6"/>
  <c r="G187" i="6"/>
  <c r="C229" i="6"/>
  <c r="D229" i="6"/>
  <c r="E229" i="6"/>
  <c r="B229" i="6"/>
  <c r="F229" i="6"/>
  <c r="G229" i="6"/>
  <c r="B81" i="6"/>
  <c r="C81" i="6"/>
  <c r="D81" i="6"/>
  <c r="E81" i="6"/>
  <c r="F81" i="6"/>
  <c r="G81" i="6"/>
  <c r="D92" i="6"/>
  <c r="E92" i="6"/>
  <c r="F92" i="6"/>
  <c r="C92" i="6"/>
  <c r="G92" i="6"/>
  <c r="B92" i="6"/>
  <c r="D28" i="6"/>
  <c r="E28" i="6"/>
  <c r="F28" i="6"/>
  <c r="G28" i="6"/>
  <c r="B28" i="6"/>
  <c r="C28" i="6"/>
  <c r="D76" i="6"/>
  <c r="E76" i="6"/>
  <c r="F76" i="6"/>
  <c r="G76" i="6"/>
  <c r="B76" i="6"/>
  <c r="C76" i="6"/>
  <c r="D32" i="6"/>
  <c r="E32" i="6"/>
  <c r="F32" i="6"/>
  <c r="B32" i="6"/>
  <c r="C32" i="6"/>
  <c r="G32" i="6"/>
  <c r="G64" i="6"/>
  <c r="B64" i="6"/>
  <c r="C64" i="6"/>
  <c r="D64" i="6"/>
  <c r="E64" i="6"/>
  <c r="F64" i="6"/>
  <c r="F98" i="6"/>
  <c r="G98" i="6"/>
  <c r="B98" i="6"/>
  <c r="C98" i="6"/>
  <c r="E98" i="6"/>
  <c r="D98" i="6"/>
  <c r="B52" i="6"/>
  <c r="C52" i="6"/>
  <c r="D52" i="6"/>
  <c r="E52" i="6"/>
  <c r="F52" i="6"/>
  <c r="G52" i="6"/>
  <c r="D166" i="6"/>
  <c r="E166" i="6"/>
  <c r="F166" i="6"/>
  <c r="G166" i="6"/>
  <c r="B166" i="6"/>
  <c r="C166" i="6"/>
  <c r="B8" i="6"/>
  <c r="B91" i="6"/>
  <c r="D91" i="6"/>
  <c r="E91" i="6"/>
  <c r="F91" i="6"/>
  <c r="G91" i="6"/>
  <c r="C91" i="6"/>
  <c r="B96" i="6"/>
  <c r="C96" i="6"/>
  <c r="D96" i="6"/>
  <c r="E96" i="6"/>
  <c r="F96" i="6"/>
  <c r="G96" i="6"/>
  <c r="B41" i="6"/>
  <c r="C41" i="6"/>
  <c r="D41" i="6"/>
  <c r="E41" i="6"/>
  <c r="F41" i="6"/>
  <c r="G41" i="6"/>
  <c r="C240" i="6"/>
  <c r="D240" i="6"/>
  <c r="E240" i="6"/>
  <c r="F240" i="6"/>
  <c r="G240" i="6"/>
  <c r="B240" i="6"/>
  <c r="B318" i="6"/>
  <c r="C318" i="6"/>
  <c r="D318" i="6"/>
  <c r="E318" i="6"/>
  <c r="F318" i="6"/>
  <c r="G318" i="6"/>
  <c r="F279" i="6"/>
  <c r="G279" i="6"/>
  <c r="B279" i="6"/>
  <c r="C279" i="6"/>
  <c r="D279" i="6"/>
  <c r="E279" i="6"/>
  <c r="C288" i="6"/>
  <c r="D288" i="6"/>
  <c r="E288" i="6"/>
  <c r="F288" i="6"/>
  <c r="G288" i="6"/>
  <c r="B288" i="6"/>
  <c r="C264" i="6"/>
  <c r="D264" i="6"/>
  <c r="E264" i="6"/>
  <c r="F264" i="6"/>
  <c r="G264" i="6"/>
  <c r="B264" i="6"/>
  <c r="D281" i="6"/>
  <c r="E281" i="6"/>
  <c r="F281" i="6"/>
  <c r="G281" i="6"/>
  <c r="B281" i="6"/>
  <c r="C281" i="6"/>
  <c r="B94" i="6"/>
  <c r="C94" i="6"/>
  <c r="D94" i="6"/>
  <c r="G94" i="6"/>
  <c r="F94" i="6"/>
  <c r="E94" i="6"/>
  <c r="C153" i="6"/>
  <c r="D153" i="6"/>
  <c r="E153" i="6"/>
  <c r="F153" i="6"/>
  <c r="G153" i="6"/>
  <c r="B153" i="6"/>
  <c r="B247" i="6"/>
  <c r="C247" i="6"/>
  <c r="D247" i="6"/>
  <c r="E247" i="6"/>
  <c r="F247" i="6"/>
  <c r="G247" i="6"/>
  <c r="B171" i="6"/>
  <c r="D171" i="6"/>
  <c r="E171" i="6"/>
  <c r="F171" i="6"/>
  <c r="G171" i="6"/>
  <c r="C171" i="6"/>
  <c r="B306" i="6"/>
  <c r="C306" i="6"/>
  <c r="D306" i="6"/>
  <c r="E306" i="6"/>
  <c r="F306" i="6"/>
  <c r="G306" i="6"/>
  <c r="E105" i="6"/>
  <c r="F105" i="6"/>
  <c r="G105" i="6"/>
  <c r="B105" i="6"/>
  <c r="C105" i="6"/>
  <c r="D105" i="6"/>
  <c r="G232" i="6"/>
  <c r="B232" i="6"/>
  <c r="C232" i="6"/>
  <c r="D232" i="6"/>
  <c r="E232" i="6"/>
  <c r="F232" i="6"/>
  <c r="B333" i="6"/>
  <c r="C333" i="6"/>
  <c r="E333" i="6"/>
  <c r="F333" i="6"/>
  <c r="G333" i="6"/>
  <c r="D333" i="6"/>
  <c r="C164" i="6"/>
  <c r="E164" i="6"/>
  <c r="F164" i="6"/>
  <c r="G164" i="6"/>
  <c r="B164" i="6"/>
  <c r="D164" i="6"/>
  <c r="F220" i="6"/>
  <c r="G220" i="6"/>
  <c r="B220" i="6"/>
  <c r="C220" i="6"/>
  <c r="D220" i="6"/>
  <c r="E220" i="6"/>
  <c r="F66" i="6"/>
  <c r="G66" i="6"/>
  <c r="B66" i="6"/>
  <c r="C66" i="6"/>
  <c r="D66" i="6"/>
  <c r="E66" i="6"/>
  <c r="E73" i="6"/>
  <c r="F73" i="6"/>
  <c r="G73" i="6"/>
  <c r="B73" i="6"/>
  <c r="C73" i="6"/>
  <c r="D73" i="6"/>
  <c r="B221" i="6"/>
  <c r="C221" i="6"/>
  <c r="D221" i="6"/>
  <c r="E221" i="6"/>
  <c r="F221" i="6"/>
  <c r="G221" i="6"/>
  <c r="B57" i="6"/>
  <c r="C57" i="6"/>
  <c r="D57" i="6"/>
  <c r="E57" i="6"/>
  <c r="F57" i="6"/>
  <c r="G57" i="6"/>
  <c r="B231" i="6"/>
  <c r="C231" i="6"/>
  <c r="E231" i="6"/>
  <c r="F231" i="6"/>
  <c r="G231" i="6"/>
  <c r="D231" i="6"/>
  <c r="C27" i="6"/>
  <c r="D27" i="6"/>
  <c r="E27" i="6"/>
  <c r="B27" i="6"/>
  <c r="F27" i="6"/>
  <c r="G27" i="6"/>
  <c r="D68" i="6"/>
  <c r="E68" i="6"/>
  <c r="F68" i="6"/>
  <c r="B68" i="6"/>
  <c r="C68" i="6"/>
  <c r="G68" i="6"/>
  <c r="B22" i="6"/>
  <c r="B154" i="6"/>
  <c r="C154" i="6"/>
  <c r="D154" i="6"/>
  <c r="E154" i="6"/>
  <c r="F154" i="6"/>
  <c r="G154" i="6"/>
  <c r="E97" i="6"/>
  <c r="F97" i="6"/>
  <c r="G97" i="6"/>
  <c r="B97" i="6"/>
  <c r="C97" i="6"/>
  <c r="D97" i="6"/>
  <c r="B79" i="6"/>
  <c r="C79" i="6"/>
  <c r="D79" i="6"/>
  <c r="E79" i="6"/>
  <c r="F79" i="6"/>
  <c r="G79" i="6"/>
  <c r="B84" i="6"/>
  <c r="C84" i="6"/>
  <c r="D84" i="6"/>
  <c r="E84" i="6"/>
  <c r="F84" i="6"/>
  <c r="G84" i="6"/>
  <c r="B29" i="6"/>
  <c r="C29" i="6"/>
  <c r="D29" i="6"/>
  <c r="F29" i="6"/>
  <c r="E29" i="6"/>
  <c r="G29" i="6"/>
  <c r="E250" i="6"/>
  <c r="F250" i="6"/>
  <c r="G250" i="6"/>
  <c r="C250" i="6"/>
  <c r="D250" i="6"/>
  <c r="B250" i="6"/>
  <c r="B350" i="6"/>
  <c r="C350" i="6"/>
  <c r="D350" i="6"/>
  <c r="E350" i="6"/>
  <c r="F350" i="6"/>
  <c r="G350" i="6"/>
  <c r="E238" i="6"/>
  <c r="F238" i="6"/>
  <c r="G238" i="6"/>
  <c r="B238" i="6"/>
  <c r="C238" i="6"/>
  <c r="D238" i="6"/>
  <c r="G201" i="6"/>
  <c r="F201" i="6"/>
  <c r="B201" i="6"/>
  <c r="C201" i="6"/>
  <c r="D201" i="6"/>
  <c r="E201" i="6"/>
  <c r="E85" i="6"/>
  <c r="F85" i="6"/>
  <c r="G85" i="6"/>
  <c r="D85" i="6"/>
  <c r="B85" i="6"/>
  <c r="C85" i="6"/>
  <c r="E322" i="6"/>
  <c r="F322" i="6"/>
  <c r="G322" i="6"/>
  <c r="B322" i="6"/>
  <c r="C322" i="6"/>
  <c r="D322" i="6"/>
  <c r="B349" i="6"/>
  <c r="C349" i="6"/>
  <c r="D349" i="6"/>
  <c r="E349" i="6"/>
  <c r="F349" i="6"/>
  <c r="G349" i="6"/>
  <c r="E177" i="6"/>
  <c r="F177" i="6"/>
  <c r="G177" i="6"/>
  <c r="B177" i="6"/>
  <c r="C177" i="6"/>
  <c r="D177" i="6"/>
  <c r="B292" i="6"/>
  <c r="C292" i="6"/>
  <c r="D292" i="6"/>
  <c r="E292" i="6"/>
  <c r="F292" i="6"/>
  <c r="G292" i="6"/>
  <c r="C194" i="6"/>
  <c r="D194" i="6"/>
  <c r="E194" i="6"/>
  <c r="F194" i="6"/>
  <c r="G194" i="6"/>
  <c r="B194" i="6"/>
  <c r="C336" i="6"/>
  <c r="E336" i="6"/>
  <c r="B336" i="6"/>
  <c r="D336" i="6"/>
  <c r="F336" i="6"/>
  <c r="G336" i="6"/>
  <c r="B295" i="6"/>
  <c r="C295" i="6"/>
  <c r="D295" i="6"/>
  <c r="E295" i="6"/>
  <c r="F295" i="6"/>
  <c r="G295" i="6"/>
  <c r="B361" i="6"/>
  <c r="C361" i="6"/>
  <c r="D361" i="6"/>
  <c r="E361" i="6"/>
  <c r="F361" i="6"/>
  <c r="G361" i="6"/>
  <c r="E286" i="6"/>
  <c r="F286" i="6"/>
  <c r="G286" i="6"/>
  <c r="B286" i="6"/>
  <c r="C286" i="6"/>
  <c r="D286" i="6"/>
  <c r="F346" i="6"/>
  <c r="G346" i="6"/>
  <c r="B346" i="6"/>
  <c r="C346" i="6"/>
  <c r="D346" i="6"/>
  <c r="E346" i="6"/>
  <c r="F155" i="6"/>
  <c r="B155" i="6"/>
  <c r="C155" i="6"/>
  <c r="D155" i="6"/>
  <c r="E155" i="6"/>
  <c r="G155" i="6"/>
  <c r="D151" i="6"/>
  <c r="E151" i="6"/>
  <c r="F151" i="6"/>
  <c r="G151" i="6"/>
  <c r="B151" i="6"/>
  <c r="C151" i="6"/>
  <c r="D301" i="6"/>
  <c r="E301" i="6"/>
  <c r="F301" i="6"/>
  <c r="G301" i="6"/>
  <c r="B301" i="6"/>
  <c r="C301" i="6"/>
  <c r="B294" i="6"/>
  <c r="E294" i="6"/>
  <c r="F294" i="6"/>
  <c r="G294" i="6"/>
  <c r="C294" i="6"/>
  <c r="D294" i="6"/>
  <c r="B82" i="6"/>
  <c r="C82" i="6"/>
  <c r="D82" i="6"/>
  <c r="E82" i="6"/>
  <c r="F82" i="6"/>
  <c r="G82" i="6"/>
  <c r="B223" i="6"/>
  <c r="C223" i="6"/>
  <c r="D223" i="6"/>
  <c r="E223" i="6"/>
  <c r="F223" i="6"/>
  <c r="G223" i="6"/>
  <c r="B280" i="6"/>
  <c r="C280" i="6"/>
  <c r="D280" i="6"/>
  <c r="G280" i="6"/>
  <c r="E280" i="6"/>
  <c r="F280" i="6"/>
  <c r="B321" i="6"/>
  <c r="C321" i="6"/>
  <c r="D321" i="6"/>
  <c r="E321" i="6"/>
  <c r="F321" i="6"/>
  <c r="G321" i="6"/>
  <c r="B122" i="6"/>
  <c r="C122" i="6"/>
  <c r="D122" i="6"/>
  <c r="E122" i="6"/>
  <c r="F122" i="6"/>
  <c r="G122" i="6"/>
  <c r="B212" i="6"/>
  <c r="C212" i="6"/>
  <c r="D212" i="6"/>
  <c r="E212" i="6"/>
  <c r="F212" i="6"/>
  <c r="G212" i="6"/>
  <c r="F62" i="6"/>
  <c r="G62" i="6"/>
  <c r="B62" i="6"/>
  <c r="C62" i="6"/>
  <c r="E62" i="6"/>
  <c r="D62" i="6"/>
  <c r="E69" i="6"/>
  <c r="F69" i="6"/>
  <c r="G69" i="6"/>
  <c r="B69" i="6"/>
  <c r="C69" i="6"/>
  <c r="D69" i="6"/>
  <c r="B209" i="6"/>
  <c r="F209" i="6"/>
  <c r="G209" i="6"/>
  <c r="C209" i="6"/>
  <c r="D209" i="6"/>
  <c r="E209" i="6"/>
  <c r="B23" i="6"/>
  <c r="B219" i="6"/>
  <c r="C219" i="6"/>
  <c r="D219" i="6"/>
  <c r="E219" i="6"/>
  <c r="F219" i="6"/>
  <c r="G219" i="6"/>
  <c r="B34" i="6"/>
  <c r="C34" i="6"/>
  <c r="D34" i="6"/>
  <c r="E34" i="6"/>
  <c r="F34" i="6"/>
  <c r="G34" i="6"/>
  <c r="G59" i="6"/>
  <c r="E59" i="6"/>
  <c r="F59" i="6"/>
  <c r="B59" i="6"/>
  <c r="C59" i="6"/>
  <c r="D59" i="6"/>
  <c r="B13" i="6"/>
  <c r="C118" i="6"/>
  <c r="D118" i="6"/>
  <c r="B118" i="6"/>
  <c r="E118" i="6"/>
  <c r="F118" i="6"/>
  <c r="G118" i="6"/>
  <c r="B88" i="6"/>
  <c r="C88" i="6"/>
  <c r="D88" i="6"/>
  <c r="E88" i="6"/>
  <c r="F88" i="6"/>
  <c r="G88" i="6"/>
  <c r="D67" i="6"/>
  <c r="E67" i="6"/>
  <c r="F67" i="6"/>
  <c r="G67" i="6"/>
  <c r="C67" i="6"/>
  <c r="B67" i="6"/>
  <c r="B72" i="6"/>
  <c r="C72" i="6"/>
  <c r="D72" i="6"/>
  <c r="E72" i="6"/>
  <c r="F72" i="6"/>
  <c r="G72" i="6"/>
  <c r="B17" i="6"/>
  <c r="G284" i="6"/>
  <c r="C284" i="6"/>
  <c r="D284" i="6"/>
  <c r="E284" i="6"/>
  <c r="F284" i="6"/>
  <c r="B284" i="6"/>
  <c r="B362" i="6"/>
  <c r="C362" i="6"/>
  <c r="D362" i="6"/>
  <c r="E362" i="6"/>
  <c r="F362" i="6"/>
  <c r="G362" i="6"/>
  <c r="G351" i="6"/>
  <c r="B351" i="6"/>
  <c r="C351" i="6"/>
  <c r="D351" i="6"/>
  <c r="E351" i="6"/>
  <c r="F351" i="6"/>
  <c r="B357" i="6"/>
  <c r="C357" i="6"/>
  <c r="D357" i="6"/>
  <c r="E357" i="6"/>
  <c r="F357" i="6"/>
  <c r="G357" i="6"/>
  <c r="B331" i="6"/>
  <c r="C331" i="6"/>
  <c r="D331" i="6"/>
  <c r="E331" i="6"/>
  <c r="F331" i="6"/>
  <c r="G331" i="6"/>
  <c r="G272" i="6"/>
  <c r="B272" i="6"/>
  <c r="C272" i="6"/>
  <c r="D272" i="6"/>
  <c r="E272" i="6"/>
  <c r="F272" i="6"/>
  <c r="D293" i="6"/>
  <c r="E293" i="6"/>
  <c r="F293" i="6"/>
  <c r="G293" i="6"/>
  <c r="B293" i="6"/>
  <c r="C293" i="6"/>
  <c r="B251" i="6"/>
  <c r="C251" i="6"/>
  <c r="D251" i="6"/>
  <c r="E251" i="6"/>
  <c r="F251" i="6"/>
  <c r="G251" i="6"/>
  <c r="D329" i="6"/>
  <c r="E329" i="6"/>
  <c r="F329" i="6"/>
  <c r="G329" i="6"/>
  <c r="B329" i="6"/>
  <c r="C329" i="6"/>
  <c r="B271" i="6"/>
  <c r="C271" i="6"/>
  <c r="D271" i="6"/>
  <c r="E271" i="6"/>
  <c r="F271" i="6"/>
  <c r="G271" i="6"/>
  <c r="F330" i="6"/>
  <c r="G330" i="6"/>
  <c r="B330" i="6"/>
  <c r="C330" i="6"/>
  <c r="D330" i="6"/>
  <c r="E330" i="6"/>
  <c r="B340" i="6"/>
  <c r="C340" i="6"/>
  <c r="D340" i="6"/>
  <c r="E340" i="6"/>
  <c r="F340" i="6"/>
  <c r="G340" i="6"/>
  <c r="E334" i="6"/>
  <c r="F334" i="6"/>
  <c r="G334" i="6"/>
  <c r="B334" i="6"/>
  <c r="C334" i="6"/>
  <c r="D334" i="6"/>
  <c r="F109" i="6"/>
  <c r="G109" i="6"/>
  <c r="E109" i="6"/>
  <c r="C109" i="6"/>
  <c r="D109" i="6"/>
  <c r="B109" i="6"/>
  <c r="B319" i="6"/>
  <c r="C319" i="6"/>
  <c r="D319" i="6"/>
  <c r="E319" i="6"/>
  <c r="F319" i="6"/>
  <c r="G319" i="6"/>
  <c r="F358" i="6"/>
  <c r="G358" i="6"/>
  <c r="B358" i="6"/>
  <c r="C358" i="6"/>
  <c r="D358" i="6"/>
  <c r="E358" i="6"/>
  <c r="B26" i="6"/>
  <c r="D147" i="6"/>
  <c r="E147" i="6"/>
  <c r="F147" i="6"/>
  <c r="G147" i="6"/>
  <c r="B147" i="6"/>
  <c r="C147" i="6"/>
  <c r="B289" i="6"/>
  <c r="C289" i="6"/>
  <c r="D289" i="6"/>
  <c r="E289" i="6"/>
  <c r="F289" i="6"/>
  <c r="G289" i="6"/>
  <c r="B282" i="6"/>
  <c r="C282" i="6"/>
  <c r="D282" i="6"/>
  <c r="E282" i="6"/>
  <c r="F282" i="6"/>
  <c r="G282" i="6"/>
  <c r="C51" i="6"/>
  <c r="D51" i="6"/>
  <c r="E51" i="6"/>
  <c r="B51" i="6"/>
  <c r="F51" i="6"/>
  <c r="G51" i="6"/>
  <c r="G213" i="6"/>
  <c r="B213" i="6"/>
  <c r="C213" i="6"/>
  <c r="D213" i="6"/>
  <c r="E213" i="6"/>
  <c r="F213" i="6"/>
  <c r="B268" i="6"/>
  <c r="C268" i="6"/>
  <c r="D268" i="6"/>
  <c r="E268" i="6"/>
  <c r="F268" i="6"/>
  <c r="G268" i="6"/>
  <c r="B309" i="6"/>
  <c r="C309" i="6"/>
  <c r="D309" i="6"/>
  <c r="E309" i="6"/>
  <c r="F309" i="6"/>
  <c r="G309" i="6"/>
  <c r="C338" i="6"/>
  <c r="B338" i="6"/>
  <c r="D338" i="6"/>
  <c r="E338" i="6"/>
  <c r="F338" i="6"/>
  <c r="G338" i="6"/>
  <c r="F184" i="6"/>
  <c r="G184" i="6"/>
  <c r="B184" i="6"/>
  <c r="C184" i="6"/>
  <c r="D184" i="6"/>
  <c r="E184" i="6"/>
  <c r="B14" i="6"/>
  <c r="B216" i="6"/>
  <c r="C216" i="6"/>
  <c r="D216" i="6"/>
  <c r="E216" i="6"/>
  <c r="F216" i="6"/>
  <c r="G216" i="6"/>
  <c r="B197" i="6"/>
  <c r="C197" i="6"/>
  <c r="D197" i="6"/>
  <c r="E197" i="6"/>
  <c r="F197" i="6"/>
  <c r="G197" i="6"/>
  <c r="B226" i="6"/>
  <c r="G226" i="6"/>
  <c r="C226" i="6"/>
  <c r="D226" i="6"/>
  <c r="E226" i="6"/>
  <c r="F226" i="6"/>
  <c r="B207" i="6"/>
  <c r="C207" i="6"/>
  <c r="D207" i="6"/>
  <c r="E207" i="6"/>
  <c r="F207" i="6"/>
  <c r="G207" i="6"/>
  <c r="B25" i="6"/>
  <c r="B50" i="6"/>
  <c r="C50" i="6"/>
  <c r="D50" i="6"/>
  <c r="E50" i="6"/>
  <c r="F50" i="6"/>
  <c r="G50" i="6"/>
  <c r="B4" i="6"/>
  <c r="E116" i="6"/>
  <c r="F116" i="6"/>
  <c r="B116" i="6"/>
  <c r="C116" i="6"/>
  <c r="D116" i="6"/>
  <c r="G116" i="6"/>
  <c r="B58" i="6"/>
  <c r="C58" i="6"/>
  <c r="D58" i="6"/>
  <c r="E58" i="6"/>
  <c r="F58" i="6"/>
  <c r="G58" i="6"/>
  <c r="G55" i="6"/>
  <c r="E55" i="6"/>
  <c r="F55" i="6"/>
  <c r="B55" i="6"/>
  <c r="C55" i="6"/>
  <c r="D55" i="6"/>
  <c r="B60" i="6"/>
  <c r="E60" i="6"/>
  <c r="F60" i="6"/>
  <c r="G60" i="6"/>
  <c r="C60" i="6"/>
  <c r="D60" i="6"/>
  <c r="B5" i="6"/>
  <c r="B307" i="6"/>
  <c r="C307" i="6"/>
  <c r="D307" i="6"/>
  <c r="E307" i="6"/>
  <c r="G307" i="6"/>
  <c r="F307" i="6"/>
  <c r="D199" i="6"/>
  <c r="E199" i="6"/>
  <c r="F199" i="6"/>
  <c r="G199" i="6"/>
  <c r="B199" i="6"/>
  <c r="C199" i="6"/>
  <c r="F327" i="6"/>
  <c r="G327" i="6"/>
  <c r="B327" i="6"/>
  <c r="C327" i="6"/>
  <c r="D327" i="6"/>
  <c r="E327" i="6"/>
  <c r="E191" i="6"/>
  <c r="F191" i="6"/>
  <c r="G191" i="6"/>
  <c r="D191" i="6"/>
  <c r="B191" i="6"/>
  <c r="C191" i="6"/>
  <c r="F196" i="6"/>
  <c r="G196" i="6"/>
  <c r="E196" i="6"/>
  <c r="B196" i="6"/>
  <c r="C196" i="6"/>
  <c r="D196" i="6"/>
  <c r="C142" i="6"/>
  <c r="D142" i="6"/>
  <c r="G142" i="6"/>
  <c r="B142" i="6"/>
  <c r="E142" i="6"/>
  <c r="F142" i="6"/>
  <c r="D277" i="6"/>
  <c r="E277" i="6"/>
  <c r="F277" i="6"/>
  <c r="G277" i="6"/>
  <c r="B277" i="6"/>
  <c r="C277" i="6"/>
  <c r="B270" i="6"/>
  <c r="E270" i="6"/>
  <c r="F270" i="6"/>
  <c r="G270" i="6"/>
  <c r="C270" i="6"/>
  <c r="D270" i="6"/>
  <c r="G335" i="6"/>
  <c r="B335" i="6"/>
  <c r="C335" i="6"/>
  <c r="D335" i="6"/>
  <c r="E335" i="6"/>
  <c r="F335" i="6"/>
  <c r="C205" i="6"/>
  <c r="D205" i="6"/>
  <c r="E205" i="6"/>
  <c r="F205" i="6"/>
  <c r="B205" i="6"/>
  <c r="G205" i="6"/>
  <c r="B256" i="6"/>
  <c r="C256" i="6"/>
  <c r="D256" i="6"/>
  <c r="E256" i="6"/>
  <c r="F256" i="6"/>
  <c r="G256" i="6"/>
  <c r="B297" i="6"/>
  <c r="C297" i="6"/>
  <c r="D297" i="6"/>
  <c r="E297" i="6"/>
  <c r="F297" i="6"/>
  <c r="G297" i="6"/>
  <c r="B326" i="6"/>
  <c r="C326" i="6"/>
  <c r="D326" i="6"/>
  <c r="E326" i="6"/>
  <c r="F326" i="6"/>
  <c r="G326" i="6"/>
  <c r="E149" i="6"/>
  <c r="F149" i="6"/>
  <c r="G149" i="6"/>
  <c r="B149" i="6"/>
  <c r="C149" i="6"/>
  <c r="D149" i="6"/>
  <c r="D169" i="6"/>
  <c r="B169" i="6"/>
  <c r="C169" i="6"/>
  <c r="E169" i="6"/>
  <c r="F169" i="6"/>
  <c r="G169" i="6"/>
  <c r="E204" i="6"/>
  <c r="F204" i="6"/>
  <c r="G204" i="6"/>
  <c r="C204" i="6"/>
  <c r="D204" i="6"/>
  <c r="B204" i="6"/>
  <c r="B185" i="6"/>
  <c r="C185" i="6"/>
  <c r="D185" i="6"/>
  <c r="E185" i="6"/>
  <c r="F185" i="6"/>
  <c r="G185" i="6"/>
  <c r="B214" i="6"/>
  <c r="C214" i="6"/>
  <c r="G214" i="6"/>
  <c r="E214" i="6"/>
  <c r="F214" i="6"/>
  <c r="D214" i="6"/>
  <c r="B195" i="6"/>
  <c r="C195" i="6"/>
  <c r="D195" i="6"/>
  <c r="E195" i="6"/>
  <c r="F195" i="6"/>
  <c r="G195" i="6"/>
  <c r="B16" i="6"/>
  <c r="B20" i="6"/>
  <c r="B141" i="6"/>
  <c r="C141" i="6"/>
  <c r="D141" i="6"/>
  <c r="E141" i="6"/>
  <c r="F141" i="6"/>
  <c r="G141" i="6"/>
  <c r="G114" i="6"/>
  <c r="B114" i="6"/>
  <c r="C114" i="6"/>
  <c r="D114" i="6"/>
  <c r="E114" i="6"/>
  <c r="F114" i="6"/>
  <c r="E49" i="6"/>
  <c r="F49" i="6"/>
  <c r="G49" i="6"/>
  <c r="B49" i="6"/>
  <c r="C49" i="6"/>
  <c r="D49" i="6"/>
  <c r="B43" i="6"/>
  <c r="G43" i="6"/>
  <c r="C43" i="6"/>
  <c r="D43" i="6"/>
  <c r="E43" i="6"/>
  <c r="F43" i="6"/>
  <c r="B48" i="6"/>
  <c r="C48" i="6"/>
  <c r="D48" i="6"/>
  <c r="E48" i="6"/>
  <c r="F48" i="6"/>
  <c r="G48" i="6"/>
  <c r="D245" i="6"/>
  <c r="E245" i="6"/>
  <c r="F245" i="6"/>
  <c r="G245" i="6"/>
  <c r="B245" i="6"/>
  <c r="C245" i="6"/>
  <c r="F315" i="6"/>
  <c r="G315" i="6"/>
  <c r="C315" i="6"/>
  <c r="D315" i="6"/>
  <c r="E315" i="6"/>
  <c r="B315" i="6"/>
  <c r="B228" i="6"/>
  <c r="C228" i="6"/>
  <c r="D228" i="6"/>
  <c r="E228" i="6"/>
  <c r="F228" i="6"/>
  <c r="G228" i="6"/>
  <c r="D269" i="6"/>
  <c r="E269" i="6"/>
  <c r="F269" i="6"/>
  <c r="G269" i="6"/>
  <c r="B269" i="6"/>
  <c r="C269" i="6"/>
  <c r="B344" i="6"/>
  <c r="C344" i="6"/>
  <c r="D344" i="6"/>
  <c r="E344" i="6"/>
  <c r="F344" i="6"/>
  <c r="G344" i="6"/>
  <c r="B316" i="6"/>
  <c r="C316" i="6"/>
  <c r="D316" i="6"/>
  <c r="E316" i="6"/>
  <c r="F316" i="6"/>
  <c r="G316" i="6"/>
  <c r="D305" i="6"/>
  <c r="E305" i="6"/>
  <c r="F305" i="6"/>
  <c r="G305" i="6"/>
  <c r="B305" i="6"/>
  <c r="C305" i="6"/>
  <c r="G308" i="6"/>
  <c r="B308" i="6"/>
  <c r="C308" i="6"/>
  <c r="D308" i="6"/>
  <c r="E308" i="6"/>
  <c r="F308" i="6"/>
  <c r="B21" i="6"/>
  <c r="E274" i="6"/>
  <c r="F274" i="6"/>
  <c r="G274" i="6"/>
  <c r="B274" i="6"/>
  <c r="C274" i="6"/>
  <c r="D274" i="6"/>
  <c r="B342" i="6"/>
  <c r="C342" i="6"/>
  <c r="D342" i="6"/>
  <c r="E342" i="6"/>
  <c r="F342" i="6"/>
  <c r="G342" i="6"/>
  <c r="C75" i="6"/>
  <c r="D75" i="6"/>
  <c r="E75" i="6"/>
  <c r="F75" i="6"/>
  <c r="G75" i="6"/>
  <c r="B75" i="6"/>
  <c r="D233" i="6"/>
  <c r="E233" i="6"/>
  <c r="F233" i="6"/>
  <c r="G233" i="6"/>
  <c r="B233" i="6"/>
  <c r="C233" i="6"/>
  <c r="G337" i="6"/>
  <c r="B337" i="6"/>
  <c r="C337" i="6"/>
  <c r="D337" i="6"/>
  <c r="E337" i="6"/>
  <c r="F337" i="6"/>
  <c r="C276" i="6"/>
  <c r="D276" i="6"/>
  <c r="E276" i="6"/>
  <c r="F276" i="6"/>
  <c r="G276" i="6"/>
  <c r="B276" i="6"/>
  <c r="B188" i="6"/>
  <c r="C188" i="6"/>
  <c r="D188" i="6"/>
  <c r="E188" i="6"/>
  <c r="F188" i="6"/>
  <c r="G188" i="6"/>
  <c r="G260" i="6"/>
  <c r="B260" i="6"/>
  <c r="C260" i="6"/>
  <c r="D260" i="6"/>
  <c r="E260" i="6"/>
  <c r="F260" i="6"/>
  <c r="B265" i="6"/>
  <c r="C265" i="6"/>
  <c r="D265" i="6"/>
  <c r="E265" i="6"/>
  <c r="F265" i="6"/>
  <c r="G265" i="6"/>
  <c r="B258" i="6"/>
  <c r="C258" i="6"/>
  <c r="F258" i="6"/>
  <c r="G258" i="6"/>
  <c r="D258" i="6"/>
  <c r="E258" i="6"/>
  <c r="C323" i="6"/>
  <c r="D323" i="6"/>
  <c r="E323" i="6"/>
  <c r="F323" i="6"/>
  <c r="G323" i="6"/>
  <c r="B323" i="6"/>
  <c r="F179" i="6"/>
  <c r="D179" i="6"/>
  <c r="E179" i="6"/>
  <c r="G179" i="6"/>
  <c r="B179" i="6"/>
  <c r="C179" i="6"/>
  <c r="B244" i="6"/>
  <c r="C244" i="6"/>
  <c r="D244" i="6"/>
  <c r="E244" i="6"/>
  <c r="F244" i="6"/>
  <c r="G244" i="6"/>
  <c r="B285" i="6"/>
  <c r="C285" i="6"/>
  <c r="D285" i="6"/>
  <c r="E285" i="6"/>
  <c r="F285" i="6"/>
  <c r="G285" i="6"/>
  <c r="B314" i="6"/>
  <c r="C314" i="6"/>
  <c r="D314" i="6"/>
  <c r="E314" i="6"/>
  <c r="F314" i="6"/>
  <c r="G314" i="6"/>
  <c r="B101" i="6"/>
  <c r="C101" i="6"/>
  <c r="E101" i="6"/>
  <c r="F101" i="6"/>
  <c r="G101" i="6"/>
  <c r="D101" i="6"/>
  <c r="D156" i="6"/>
  <c r="E156" i="6"/>
  <c r="F156" i="6"/>
  <c r="G156" i="6"/>
  <c r="C156" i="6"/>
  <c r="B156" i="6"/>
  <c r="B192" i="6"/>
  <c r="C192" i="6"/>
  <c r="D192" i="6"/>
  <c r="E192" i="6"/>
  <c r="F192" i="6"/>
  <c r="G192" i="6"/>
  <c r="C176" i="6"/>
  <c r="B176" i="6"/>
  <c r="D176" i="6"/>
  <c r="E176" i="6"/>
  <c r="F176" i="6"/>
  <c r="G176" i="6"/>
  <c r="B202" i="6"/>
  <c r="C202" i="6"/>
  <c r="D202" i="6"/>
  <c r="E202" i="6"/>
  <c r="F202" i="6"/>
  <c r="G202" i="6"/>
  <c r="B183" i="6"/>
  <c r="C183" i="6"/>
  <c r="D183" i="6"/>
  <c r="E183" i="6"/>
  <c r="F183" i="6"/>
  <c r="G183" i="6"/>
  <c r="B18" i="6"/>
  <c r="B11" i="6"/>
  <c r="B93" i="6"/>
  <c r="C93" i="6"/>
  <c r="D93" i="6"/>
  <c r="E93" i="6"/>
  <c r="F93" i="6"/>
  <c r="G93" i="6"/>
  <c r="B112" i="6"/>
  <c r="C112" i="6"/>
  <c r="D112" i="6"/>
  <c r="E112" i="6"/>
  <c r="F112" i="6"/>
  <c r="G112" i="6"/>
  <c r="B40" i="6"/>
  <c r="C40" i="6"/>
  <c r="D40" i="6"/>
  <c r="E40" i="6"/>
  <c r="F40" i="6"/>
  <c r="G40" i="6"/>
  <c r="B31" i="6"/>
  <c r="C31" i="6"/>
  <c r="D31" i="6"/>
  <c r="E31" i="6"/>
  <c r="G31" i="6"/>
  <c r="F31" i="6"/>
  <c r="B36" i="6"/>
  <c r="C36" i="6"/>
  <c r="E36" i="6"/>
  <c r="D36" i="6"/>
  <c r="F36" i="6"/>
  <c r="G36" i="6"/>
  <c r="E262" i="6"/>
  <c r="F262" i="6"/>
  <c r="G262" i="6"/>
  <c r="D262" i="6"/>
  <c r="B262" i="6"/>
  <c r="C262" i="6"/>
  <c r="C343" i="6"/>
  <c r="D343" i="6"/>
  <c r="E343" i="6"/>
  <c r="F343" i="6"/>
  <c r="G343" i="6"/>
  <c r="B343" i="6"/>
  <c r="B259" i="6"/>
  <c r="C259" i="6"/>
  <c r="D259" i="6"/>
  <c r="E259" i="6"/>
  <c r="F259" i="6"/>
  <c r="G259" i="6"/>
  <c r="B230" i="6"/>
  <c r="C230" i="6"/>
  <c r="D230" i="6"/>
  <c r="E230" i="6"/>
  <c r="F230" i="6"/>
  <c r="G230" i="6"/>
  <c r="B347" i="6"/>
  <c r="C347" i="6"/>
  <c r="D347" i="6"/>
  <c r="E347" i="6"/>
  <c r="F347" i="6"/>
  <c r="G347" i="6"/>
  <c r="B359" i="6"/>
  <c r="C359" i="6"/>
  <c r="D359" i="6"/>
  <c r="E359" i="6"/>
  <c r="F359" i="6"/>
  <c r="G359" i="6"/>
  <c r="E140" i="6"/>
  <c r="F140" i="6"/>
  <c r="D140" i="6"/>
  <c r="G140" i="6"/>
  <c r="C140" i="6"/>
  <c r="B140" i="6"/>
  <c r="B242" i="6"/>
  <c r="C242" i="6"/>
  <c r="D242" i="6"/>
  <c r="E242" i="6"/>
  <c r="F242" i="6"/>
  <c r="G242" i="6"/>
  <c r="B143" i="6"/>
  <c r="C143" i="6"/>
  <c r="D143" i="6"/>
  <c r="E143" i="6"/>
  <c r="F143" i="6"/>
  <c r="G143" i="6"/>
  <c r="B170" i="6"/>
  <c r="C170" i="6"/>
  <c r="D170" i="6"/>
  <c r="E170" i="6"/>
  <c r="F170" i="6"/>
  <c r="G170" i="6"/>
  <c r="F255" i="6"/>
  <c r="G255" i="6"/>
  <c r="B255" i="6"/>
  <c r="C255" i="6"/>
  <c r="D255" i="6"/>
  <c r="E255" i="6"/>
  <c r="B352" i="6"/>
  <c r="C352" i="6"/>
  <c r="D352" i="6"/>
  <c r="E352" i="6"/>
  <c r="F352" i="6"/>
  <c r="G352" i="6"/>
  <c r="E298" i="6"/>
  <c r="F298" i="6"/>
  <c r="G298" i="6"/>
  <c r="B298" i="6"/>
  <c r="C298" i="6"/>
  <c r="D298" i="6"/>
  <c r="B354" i="6"/>
  <c r="C354" i="6"/>
  <c r="D354" i="6"/>
  <c r="E354" i="6"/>
  <c r="F354" i="6"/>
  <c r="G354" i="6"/>
  <c r="B313" i="6"/>
  <c r="C313" i="6"/>
  <c r="D313" i="6"/>
  <c r="E313" i="6"/>
  <c r="F313" i="6"/>
  <c r="G313" i="6"/>
  <c r="B224" i="6"/>
  <c r="C224" i="6"/>
  <c r="D224" i="6"/>
  <c r="F224" i="6"/>
  <c r="G224" i="6"/>
  <c r="E224" i="6"/>
  <c r="D186" i="6"/>
  <c r="E186" i="6"/>
  <c r="F186" i="6"/>
  <c r="G186" i="6"/>
  <c r="C186" i="6"/>
  <c r="B186" i="6"/>
  <c r="C252" i="6"/>
  <c r="D252" i="6"/>
  <c r="E252" i="6"/>
  <c r="F252" i="6"/>
  <c r="G252" i="6"/>
  <c r="B252" i="6"/>
  <c r="G339" i="6"/>
  <c r="B339" i="6"/>
  <c r="C339" i="6"/>
  <c r="D339" i="6"/>
  <c r="E339" i="6"/>
  <c r="F339" i="6"/>
  <c r="C300" i="6"/>
  <c r="D300" i="6"/>
  <c r="E300" i="6"/>
  <c r="F300" i="6"/>
  <c r="G300" i="6"/>
  <c r="B300" i="6"/>
  <c r="D134" i="6"/>
  <c r="E134" i="6"/>
  <c r="F134" i="6"/>
  <c r="G134" i="6"/>
  <c r="B134" i="6"/>
  <c r="C134" i="6"/>
  <c r="G248" i="6"/>
  <c r="B248" i="6"/>
  <c r="C248" i="6"/>
  <c r="D248" i="6"/>
  <c r="E248" i="6"/>
  <c r="F248" i="6"/>
  <c r="B253" i="6"/>
  <c r="C253" i="6"/>
  <c r="D253" i="6"/>
  <c r="E253" i="6"/>
  <c r="F253" i="6"/>
  <c r="G253" i="6"/>
  <c r="B246" i="6"/>
  <c r="C246" i="6"/>
  <c r="D246" i="6"/>
  <c r="E246" i="6"/>
  <c r="F246" i="6"/>
  <c r="G246" i="6"/>
  <c r="B311" i="6"/>
  <c r="C311" i="6"/>
  <c r="D311" i="6"/>
  <c r="E311" i="6"/>
  <c r="F311" i="6"/>
  <c r="G311" i="6"/>
  <c r="F145" i="6"/>
  <c r="G145" i="6"/>
  <c r="C145" i="6"/>
  <c r="D145" i="6"/>
  <c r="E145" i="6"/>
  <c r="B145" i="6"/>
  <c r="G225" i="6"/>
  <c r="B225" i="6"/>
  <c r="C225" i="6"/>
  <c r="D225" i="6"/>
  <c r="E225" i="6"/>
  <c r="F225" i="6"/>
  <c r="B273" i="6"/>
  <c r="C273" i="6"/>
  <c r="D273" i="6"/>
  <c r="E273" i="6"/>
  <c r="F273" i="6"/>
  <c r="G273" i="6"/>
  <c r="B302" i="6"/>
  <c r="C302" i="6"/>
  <c r="D302" i="6"/>
  <c r="E302" i="6"/>
  <c r="F302" i="6"/>
  <c r="G302" i="6"/>
  <c r="F78" i="6"/>
  <c r="G78" i="6"/>
  <c r="E78" i="6"/>
  <c r="B78" i="6"/>
  <c r="C78" i="6"/>
  <c r="D78" i="6"/>
  <c r="D111" i="6"/>
  <c r="E111" i="6"/>
  <c r="G111" i="6"/>
  <c r="B111" i="6"/>
  <c r="C111" i="6"/>
  <c r="F111" i="6"/>
  <c r="B180" i="6"/>
  <c r="C180" i="6"/>
  <c r="D180" i="6"/>
  <c r="E180" i="6"/>
  <c r="F180" i="6"/>
  <c r="G180" i="6"/>
  <c r="B163" i="6"/>
  <c r="C163" i="6"/>
  <c r="D163" i="6"/>
  <c r="G163" i="6"/>
  <c r="E163" i="6"/>
  <c r="F163" i="6"/>
  <c r="B190" i="6"/>
  <c r="C190" i="6"/>
  <c r="D190" i="6"/>
  <c r="E190" i="6"/>
  <c r="F190" i="6"/>
  <c r="G190" i="6"/>
  <c r="G172" i="6"/>
  <c r="B172" i="6"/>
  <c r="C172" i="6"/>
  <c r="D172" i="6"/>
  <c r="E172" i="6"/>
  <c r="F172" i="6"/>
  <c r="B9" i="6"/>
  <c r="C106" i="6"/>
  <c r="D106" i="6"/>
  <c r="B106" i="6"/>
  <c r="E106" i="6"/>
  <c r="F106" i="6"/>
  <c r="G106" i="6"/>
  <c r="C63" i="6"/>
  <c r="D63" i="6"/>
  <c r="E63" i="6"/>
  <c r="B63" i="6"/>
  <c r="F63" i="6"/>
  <c r="G63" i="6"/>
  <c r="B110" i="6"/>
  <c r="C110" i="6"/>
  <c r="D110" i="6"/>
  <c r="E110" i="6"/>
  <c r="F110" i="6"/>
  <c r="G110" i="6"/>
  <c r="B10" i="6"/>
  <c r="B19" i="6"/>
  <c r="B24" i="6"/>
  <c r="B283" i="6"/>
  <c r="C283" i="6"/>
  <c r="D283" i="6"/>
  <c r="E283" i="6"/>
  <c r="F283" i="6"/>
  <c r="G283" i="6"/>
  <c r="C355" i="6"/>
  <c r="D355" i="6"/>
  <c r="E355" i="6"/>
  <c r="F355" i="6"/>
  <c r="G355" i="6"/>
  <c r="B355" i="6"/>
  <c r="B20" i="5" l="1"/>
  <c r="B23" i="5" s="1"/>
  <c r="M4" i="4"/>
  <c r="B21" i="5" s="1"/>
  <c r="E3" i="6"/>
  <c r="F3" i="6" l="1"/>
  <c r="C4" i="6" s="1"/>
  <c r="G3" i="6"/>
  <c r="D4" i="6" l="1"/>
  <c r="E4" i="6" l="1"/>
  <c r="F4" i="6" l="1"/>
  <c r="C5" i="6" s="1"/>
  <c r="G4" i="6"/>
  <c r="D5" i="6" l="1"/>
  <c r="E5" i="6" l="1"/>
  <c r="F5" i="6" l="1"/>
  <c r="C6" i="6" s="1"/>
  <c r="G5" i="6"/>
  <c r="D6" i="6" l="1"/>
  <c r="E6" i="6" l="1"/>
  <c r="F6" i="6" l="1"/>
  <c r="C7" i="6" s="1"/>
  <c r="G6" i="6"/>
  <c r="D7" i="6" l="1"/>
  <c r="E7" i="6" l="1"/>
  <c r="F7" i="6" l="1"/>
  <c r="C8" i="6" s="1"/>
  <c r="G7" i="6"/>
  <c r="D8" i="6" l="1"/>
  <c r="E8" i="6" l="1"/>
  <c r="F8" i="6" s="1"/>
  <c r="C9" i="6" s="1"/>
  <c r="G8" i="6"/>
  <c r="D9" i="6" l="1"/>
  <c r="E9" i="6" l="1"/>
  <c r="F9" i="6" s="1"/>
  <c r="C10" i="6" s="1"/>
  <c r="D10" i="6" l="1"/>
  <c r="G9" i="6"/>
  <c r="E10" i="6" l="1"/>
  <c r="F10" i="6" s="1"/>
  <c r="C11" i="6" s="1"/>
  <c r="G10" i="6"/>
  <c r="D11" i="6" l="1"/>
  <c r="E11" i="6" l="1"/>
  <c r="F11" i="6" s="1"/>
  <c r="C12" i="6" s="1"/>
  <c r="D12" i="6" l="1"/>
  <c r="G11" i="6"/>
  <c r="E12" i="6" l="1"/>
  <c r="F12" i="6" s="1"/>
  <c r="C13" i="6" s="1"/>
  <c r="D13" i="6" l="1"/>
  <c r="G12" i="6"/>
  <c r="E13" i="6" l="1"/>
  <c r="F13" i="6" s="1"/>
  <c r="C14" i="6" s="1"/>
  <c r="G13" i="6"/>
  <c r="D14" i="6" l="1"/>
  <c r="E14" i="6" l="1"/>
  <c r="F14" i="6" s="1"/>
  <c r="C15" i="6" s="1"/>
  <c r="G14" i="6"/>
  <c r="D15" i="6" l="1"/>
  <c r="E15" i="6" l="1"/>
  <c r="F15" i="6" s="1"/>
  <c r="C16" i="6" s="1"/>
  <c r="G15" i="6"/>
  <c r="D16" i="6" l="1"/>
  <c r="E16" i="6" l="1"/>
  <c r="F16" i="6" s="1"/>
  <c r="C17" i="6" s="1"/>
  <c r="G16" i="6"/>
  <c r="D17" i="6" l="1"/>
  <c r="E17" i="6" l="1"/>
  <c r="F17" i="6" s="1"/>
  <c r="C18" i="6" s="1"/>
  <c r="G17" i="6"/>
  <c r="D18" i="6" l="1"/>
  <c r="E18" i="6" l="1"/>
  <c r="F18" i="6" s="1"/>
  <c r="C19" i="6" s="1"/>
  <c r="D19" i="6" l="1"/>
  <c r="G18" i="6"/>
  <c r="E19" i="6" l="1"/>
  <c r="F19" i="6" s="1"/>
  <c r="C20" i="6" s="1"/>
  <c r="D20" i="6" l="1"/>
  <c r="G19" i="6"/>
  <c r="E20" i="6" l="1"/>
  <c r="F20" i="6" s="1"/>
  <c r="C21" i="6" s="1"/>
  <c r="G20" i="6"/>
  <c r="D21" i="6" l="1"/>
  <c r="E21" i="6" l="1"/>
  <c r="F21" i="6" s="1"/>
  <c r="C22" i="6" s="1"/>
  <c r="G21" i="6"/>
  <c r="D22" i="6" l="1"/>
  <c r="E22" i="6" l="1"/>
  <c r="F22" i="6" s="1"/>
  <c r="C23" i="6" s="1"/>
  <c r="G22" i="6"/>
  <c r="D23" i="6" l="1"/>
  <c r="E23" i="6" l="1"/>
  <c r="F23" i="6" s="1"/>
  <c r="C24" i="6" s="1"/>
  <c r="G23" i="6"/>
  <c r="D24" i="6" l="1"/>
  <c r="E24" i="6" l="1"/>
  <c r="F24" i="6" s="1"/>
  <c r="C25" i="6" s="1"/>
  <c r="D25" i="6" l="1"/>
  <c r="G24" i="6"/>
  <c r="E25" i="6" l="1"/>
  <c r="F25" i="6" s="1"/>
  <c r="C26" i="6" s="1"/>
  <c r="G25" i="6"/>
  <c r="D26" i="6" l="1"/>
  <c r="E26" i="6" l="1"/>
  <c r="B30" i="5" l="1"/>
  <c r="B31" i="5" s="1"/>
  <c r="F26" i="6"/>
  <c r="B29" i="5" s="1"/>
  <c r="B32" i="5" s="1"/>
  <c r="G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Pichau</author>
  </authors>
  <commentList>
    <comment ref="F5" authorId="0" shapeId="0" xr:uid="{40729FA4-DC65-4BB6-A367-72C14A375AED}">
      <text>
        <r>
          <rPr>
            <b/>
            <sz val="9"/>
            <color indexed="81"/>
            <rFont val="Segoe UI"/>
            <family val="2"/>
          </rPr>
          <t>Taxa informada: 20% ao mês. A célula armazena a taxa anual efetiva equivalente.</t>
        </r>
      </text>
    </comment>
  </commentList>
</comments>
</file>

<file path=xl/sharedStrings.xml><?xml version="1.0" encoding="utf-8"?>
<sst xmlns="http://schemas.openxmlformats.org/spreadsheetml/2006/main" count="94" uniqueCount="74">
  <si>
    <t>Prazo (meses)</t>
  </si>
  <si>
    <t>Data da contratação</t>
  </si>
  <si>
    <t>Tarifas iniciais</t>
  </si>
  <si>
    <t>Seguro mensal</t>
  </si>
  <si>
    <t>Resultados calculados</t>
  </si>
  <si>
    <t>Parcela financeira</t>
  </si>
  <si>
    <t>Pagamento mensal total</t>
  </si>
  <si>
    <t>CET anual aproximado</t>
  </si>
  <si>
    <t>Verificações</t>
  </si>
  <si>
    <t>Saldo final</t>
  </si>
  <si>
    <t>Amortização acumulada</t>
  </si>
  <si>
    <t>Diferença vs. principal</t>
  </si>
  <si>
    <t>Status do modelo</t>
  </si>
  <si>
    <t>Legenda</t>
  </si>
  <si>
    <t>Entrada editável</t>
  </si>
  <si>
    <t>Fórmula</t>
  </si>
  <si>
    <t>Referência entre abas</t>
  </si>
  <si>
    <t>Azul</t>
  </si>
  <si>
    <t>Preto</t>
  </si>
  <si>
    <t>Verde</t>
  </si>
  <si>
    <t>Parcela</t>
  </si>
  <si>
    <t>Vencimento</t>
  </si>
  <si>
    <t>Saldo inicial</t>
  </si>
  <si>
    <t>Juros</t>
  </si>
  <si>
    <t>Amortização</t>
  </si>
  <si>
    <t>Pagamento total</t>
  </si>
  <si>
    <t>Cadastro de Clientes</t>
  </si>
  <si>
    <t>Insira um cliente por linha. Campos em azul são editáveis; use IDs únicos como CLI-0001.</t>
  </si>
  <si>
    <t>ID Cliente</t>
  </si>
  <si>
    <t>Nome completo</t>
  </si>
  <si>
    <t>CPF/CNPJ</t>
  </si>
  <si>
    <t>Nascimento/Abertura</t>
  </si>
  <si>
    <t>Telefone</t>
  </si>
  <si>
    <t>E-mail</t>
  </si>
  <si>
    <t>Endereço</t>
  </si>
  <si>
    <t>Status</t>
  </si>
  <si>
    <t>Data de cadastro</t>
  </si>
  <si>
    <t>Validação</t>
  </si>
  <si>
    <t>CLI-0001</t>
  </si>
  <si>
    <t>Cliente Teste</t>
  </si>
  <si>
    <t>000.000.000-00</t>
  </si>
  <si>
    <t>(00) 00000-0000</t>
  </si>
  <si>
    <t>cliente@teste.com</t>
  </si>
  <si>
    <t>Endereço de teste</t>
  </si>
  <si>
    <t>Ativo</t>
  </si>
  <si>
    <t>Empréstimos por Cliente</t>
  </si>
  <si>
    <t>Cadastre o contrato, selecione um ID de cliente existente e acompanhe os valores calculados.</t>
  </si>
  <si>
    <t>ID Empréstimo</t>
  </si>
  <si>
    <t>Nome do cliente</t>
  </si>
  <si>
    <t>Data contratação</t>
  </si>
  <si>
    <t>Valor principal</t>
  </si>
  <si>
    <t>Taxa anual efetiva</t>
  </si>
  <si>
    <t>Taxa mensal</t>
  </si>
  <si>
    <t>Pagamento mensal</t>
  </si>
  <si>
    <t>Total previsto</t>
  </si>
  <si>
    <t>Juros previstos</t>
  </si>
  <si>
    <t>Observações</t>
  </si>
  <si>
    <t>EMP-0001</t>
  </si>
  <si>
    <t>Empréstimo de teste migrado da versão anterior.</t>
  </si>
  <si>
    <t>Consulta de Empréstimo — Tabela Price</t>
  </si>
  <si>
    <t>Informe o ID de um contrato cadastrado para consultar cliente, condições e cronograma.</t>
  </si>
  <si>
    <t>ID do empréstimo</t>
  </si>
  <si>
    <t>Cliente vinculado</t>
  </si>
  <si>
    <t>Condições contratadas</t>
  </si>
  <si>
    <t>Taxa mensal equivalente</t>
  </si>
  <si>
    <t>Empréstimo localizado</t>
  </si>
  <si>
    <t>Cliente localizado</t>
  </si>
  <si>
    <t>Como usar</t>
  </si>
  <si>
    <t>1. Cadastre o cliente na aba Clientes.
2. Cadastre o contrato na aba Empréstimos usando o ID do cliente.
3. Informe o ID do contrato nesta aba para consultar o cronograma.</t>
  </si>
  <si>
    <t>Cronograma do Empréstimo Selecionado</t>
  </si>
  <si>
    <t>CLI-0002</t>
  </si>
  <si>
    <t>Teste 1</t>
  </si>
  <si>
    <t>EMP-0002</t>
  </si>
  <si>
    <t>CLI-0002 — taxa informada: 20% a.m.; equivalente anual armazenado.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</si>
</sst>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000%"/>
  </numFmts>
  <fonts count="17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b/>
      <sz val="18"/>
      <color rgb="FFFFFFFF"/>
      <name val="Aptos"/>
      <family val="2"/>
    </font>
    <font>
      <i/>
      <sz val="11"/>
      <color rgb="FF666666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rgb="FF0000FF"/>
      <name val="Aptos"/>
      <family val="2"/>
    </font>
    <font>
      <sz val="11"/>
      <color rgb="FF0000FF"/>
      <name val="Aptos"/>
      <family val="2"/>
    </font>
    <font>
      <sz val="11"/>
      <color rgb="FF000000"/>
      <name val="Aptos"/>
      <family val="2"/>
    </font>
    <font>
      <sz val="11"/>
      <color rgb="FF008000"/>
      <name val="Aptos"/>
      <family val="2"/>
    </font>
    <font>
      <b/>
      <sz val="11"/>
      <color rgb="FF008000"/>
      <name val="Aptos"/>
      <family val="2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/>
    </xf>
    <xf numFmtId="49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165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1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0" xfId="0" applyFont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14" fontId="9" fillId="5" borderId="0" xfId="0" applyNumberFormat="1" applyFont="1" applyFill="1" applyBorder="1" applyAlignment="1">
      <alignment vertical="center"/>
    </xf>
    <xf numFmtId="164" fontId="9" fillId="5" borderId="0" xfId="0" applyNumberFormat="1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165" fontId="9" fillId="5" borderId="0" xfId="0" applyNumberFormat="1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1" fontId="9" fillId="5" borderId="0" xfId="0" applyNumberFormat="1" applyFont="1" applyFill="1" applyBorder="1" applyAlignment="1">
      <alignment vertical="center"/>
    </xf>
    <xf numFmtId="164" fontId="9" fillId="5" borderId="1" xfId="0" applyNumberFormat="1" applyFont="1" applyFill="1" applyBorder="1" applyAlignment="1">
      <alignment vertical="center"/>
    </xf>
    <xf numFmtId="165" fontId="8" fillId="5" borderId="1" xfId="0" applyNumberFormat="1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1" fontId="9" fillId="0" borderId="0" xfId="0" applyNumberFormat="1" applyFont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right"/>
    </xf>
  </cellXfs>
  <cellStyles count="1">
    <cellStyle name="Normal" xfId="0" builtinId="0"/>
  </cellStyles>
  <dxfs count="33">
    <dxf>
      <font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5" formatCode="0.00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5" formatCode="0.00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64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7365D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D7F8B-425E-4D1E-A5AA-2A23D82AB634}" name="tbClientes" displayName="tbClientes" ref="A3:J203" totalsRowShown="0" headerRowDxfId="31">
  <autoFilter ref="A3:J203" xr:uid="{31BD7F8B-425E-4D1E-A5AA-2A23D82AB634}"/>
  <tableColumns count="10">
    <tableColumn id="1" xr3:uid="{EB7AA0A4-DB19-451F-AC0F-064FD1FFF8D9}" name="ID Cliente" dataDxfId="30"/>
    <tableColumn id="2" xr3:uid="{DB6E96A6-C9DD-455B-A99C-90D59ED93ED0}" name="Nome completo" dataDxfId="29"/>
    <tableColumn id="3" xr3:uid="{A12D3751-9E78-4122-B4D5-2814DCD950BD}" name="CPF/CNPJ" dataDxfId="28"/>
    <tableColumn id="4" xr3:uid="{8AC5E986-357F-4B68-822E-86A330BEB24B}" name="Nascimento/Abertura" dataDxfId="27"/>
    <tableColumn id="5" xr3:uid="{D3A7B17A-5EB6-46C1-82B5-ADB092DAE177}" name="Telefone" dataDxfId="26"/>
    <tableColumn id="6" xr3:uid="{ADFF8DF3-0DFC-4CDB-BAC6-FD16E5D630E0}" name="E-mail" dataDxfId="25"/>
    <tableColumn id="7" xr3:uid="{7BB21BAF-D4BB-4100-8B01-B27557A5B3CF}" name="Endereço" dataDxfId="24"/>
    <tableColumn id="8" xr3:uid="{EBCB50D8-E8D6-4231-B6DE-7714782177E2}" name="Status" dataDxfId="23"/>
    <tableColumn id="9" xr3:uid="{EE1B9182-55B7-4B09-A240-2E37F305AAD7}" name="Data de cadastro" dataDxfId="22"/>
    <tableColumn id="10" xr3:uid="{0AB5AAFB-96F6-4928-8D1B-3A5CF6C0A144}" name="Validação" dataDxfId="21">
      <calculatedColumnFormula>IF(A4="","",IF(COUNTIF($A$4:$A$203,A4)&gt;1,"ID duplicado",IF(AND(C4&lt;&gt;"",COUNTIF($C$4:$C$203,C4)&gt;1),"CPF/CNPJ duplicado","OK")))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A38BBF-F86D-45CF-940F-07A39A68E490}" name="tbEmprestimos" displayName="tbEmprestimos" ref="A3:Q203" totalsRowShown="0" headerRowDxfId="19">
  <autoFilter ref="A3:Q203" xr:uid="{ACA38BBF-F86D-45CF-940F-07A39A68E490}"/>
  <tableColumns count="17">
    <tableColumn id="1" xr3:uid="{2119D496-48FF-41A5-994F-32FAC086ACE4}" name="ID Empréstimo" dataDxfId="18"/>
    <tableColumn id="2" xr3:uid="{A33DA455-2962-4C31-98F8-BCC3B0B4AFFF}" name="ID Cliente" dataDxfId="17"/>
    <tableColumn id="3" xr3:uid="{227A3291-80CA-4DF5-8FB2-550ACA6C64A2}" name="Nome do cliente" dataDxfId="8">
      <calculatedColumnFormula>IF(B4="","",IFERROR(INDEX(Clientes!$B$4:$B$203,MATCH(B4,Clientes!$A$4:$A$203,0)),"Cliente não encontrado"))</calculatedColumnFormula>
    </tableColumn>
    <tableColumn id="4" xr3:uid="{279A3C11-314F-4C0D-9922-5C8CEF4BE70E}" name="Data contratação" dataDxfId="16"/>
    <tableColumn id="5" xr3:uid="{3AE3409D-4E7A-4BEC-81D6-954EF415F040}" name="Valor principal" dataDxfId="15"/>
    <tableColumn id="6" xr3:uid="{FDD51EAA-47DE-4235-829B-B2E446F7694F}" name="Taxa anual efetiva" dataDxfId="14"/>
    <tableColumn id="7" xr3:uid="{CD5B5776-5F6C-4137-BCC3-DF81A3E70966}" name="Prazo (meses)" dataDxfId="13"/>
    <tableColumn id="8" xr3:uid="{7C9EA377-BBA9-4FF0-8095-853494747544}" name="Tarifas iniciais" dataDxfId="12"/>
    <tableColumn id="9" xr3:uid="{C2BEAB2F-CAD9-4F36-A1EA-FED867CFBBA6}" name="Seguro mensal" dataDxfId="11"/>
    <tableColumn id="10" xr3:uid="{294BE925-FF33-41C3-BE84-97FB246E9EA3}" name="Taxa mensal" dataDxfId="6">
      <calculatedColumnFormula>IF(OR(E4="",F4="",G4=""),"",(1+F4)^(1/12)-1)</calculatedColumnFormula>
    </tableColumn>
    <tableColumn id="11" xr3:uid="{D53B0529-1B61-44A7-ACF9-FEF08B051656}" name="Parcela financeira" dataDxfId="5">
      <calculatedColumnFormula>IF(OR(E4&lt;=0,G4&lt;=0),"",-PMT(J4,G4,E4))</calculatedColumnFormula>
    </tableColumn>
    <tableColumn id="12" xr3:uid="{3077EC90-424E-4D20-AAE3-518CFD2645F6}" name="Pagamento mensal" dataDxfId="4">
      <calculatedColumnFormula>IF(K4="","",K4+I4)</calculatedColumnFormula>
    </tableColumn>
    <tableColumn id="13" xr3:uid="{E2C5C304-BA6A-4F2F-86F8-5E08993FA01F}" name="Total previsto" dataDxfId="3">
      <calculatedColumnFormula>IF(L4="","",L4*G4+H4)</calculatedColumnFormula>
    </tableColumn>
    <tableColumn id="14" xr3:uid="{CE2F91CA-A7B7-4125-92F0-8370A78869D0}" name="Juros previstos" dataDxfId="2">
      <calculatedColumnFormula>IF(K4="","",K4*G4-E4)</calculatedColumnFormula>
    </tableColumn>
    <tableColumn id="15" xr3:uid="{9F0AACEB-814D-4C59-9F07-C9100E31C5CD}" name="Status" dataDxfId="10"/>
    <tableColumn id="16" xr3:uid="{500E97B0-DB0A-446A-8772-1E3160778307}" name="Observações" dataDxfId="9"/>
    <tableColumn id="17" xr3:uid="{78548457-3E3D-485E-9029-68B1A23C63AE}" name="Validação" dataDxfId="7">
      <calculatedColumnFormula>IF(A4="","",IF(COUNTIF($A$4:$A$203,A4)&gt;1,"ID duplicado",IF(COUNTIF(Clientes!$A$4:$A$203,B4)=0,"Cliente não encontrado",IF(OR(E4&lt;=0,G4&lt;=0,F4&lt;0),"Revisar condições","OK"))))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8AD1-FAF2-45A3-98A5-29A9B1F23E37}">
  <sheetPr>
    <tabColor rgb="FF0F6B78"/>
  </sheetPr>
  <dimension ref="A1:J203"/>
  <sheetViews>
    <sheetView showGridLines="0" workbookViewId="0">
      <pane ySplit="3" topLeftCell="A4" activePane="bottomLeft" state="frozen"/>
      <selection pane="bottomLeft" sqref="A1:J6"/>
    </sheetView>
  </sheetViews>
  <sheetFormatPr defaultRowHeight="14.4" x14ac:dyDescent="0.3"/>
  <cols>
    <col min="1" max="1" width="13.77734375" customWidth="1"/>
    <col min="2" max="2" width="28.77734375" customWidth="1"/>
    <col min="3" max="3" width="20.77734375" customWidth="1"/>
    <col min="4" max="4" width="20.88671875" customWidth="1"/>
    <col min="5" max="5" width="19.77734375" customWidth="1"/>
    <col min="6" max="6" width="28.77734375" customWidth="1"/>
    <col min="7" max="7" width="36.77734375" customWidth="1"/>
    <col min="8" max="8" width="12.77734375" customWidth="1"/>
    <col min="9" max="9" width="18.77734375" customWidth="1"/>
    <col min="10" max="10" width="22.77734375" customWidth="1"/>
  </cols>
  <sheetData>
    <row r="1" spans="1:10" ht="31.95" customHeight="1" x14ac:dyDescent="0.3">
      <c r="A1" s="11" t="s">
        <v>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12" t="s">
        <v>27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1.95" customHeight="1" x14ac:dyDescent="0.3">
      <c r="A3" s="14" t="s">
        <v>28</v>
      </c>
      <c r="B3" s="14" t="s">
        <v>29</v>
      </c>
      <c r="C3" s="14" t="s">
        <v>30</v>
      </c>
      <c r="D3" s="14" t="s">
        <v>31</v>
      </c>
      <c r="E3" s="14" t="s">
        <v>32</v>
      </c>
      <c r="F3" s="14" t="s">
        <v>33</v>
      </c>
      <c r="G3" s="14" t="s">
        <v>34</v>
      </c>
      <c r="H3" s="14" t="s">
        <v>35</v>
      </c>
      <c r="I3" s="14" t="s">
        <v>36</v>
      </c>
      <c r="J3" s="14" t="s">
        <v>37</v>
      </c>
    </row>
    <row r="4" spans="1:10" x14ac:dyDescent="0.3">
      <c r="A4" s="17" t="s">
        <v>38</v>
      </c>
      <c r="B4" s="15" t="s">
        <v>39</v>
      </c>
      <c r="C4" s="16" t="s">
        <v>40</v>
      </c>
      <c r="D4" s="18"/>
      <c r="E4" s="15" t="s">
        <v>41</v>
      </c>
      <c r="F4" s="15" t="s">
        <v>42</v>
      </c>
      <c r="G4" s="20" t="s">
        <v>43</v>
      </c>
      <c r="H4" s="17" t="s">
        <v>44</v>
      </c>
      <c r="I4" s="18">
        <v>46236.166666666664</v>
      </c>
      <c r="J4" s="19" t="str">
        <f>IF(A4="","",IF(COUNTIF($A$4:$A$203,A4)&gt;1,"ID duplicado",IF(AND(C4&lt;&gt;"",COUNTIF($C$4:$C$203,C4)&gt;1),"CPF/CNPJ duplicado","OK")))</f>
        <v>OK</v>
      </c>
    </row>
    <row r="5" spans="1:10" x14ac:dyDescent="0.3">
      <c r="A5" s="17" t="s">
        <v>70</v>
      </c>
      <c r="B5" s="15" t="s">
        <v>71</v>
      </c>
      <c r="C5" s="16"/>
      <c r="D5" s="18"/>
      <c r="E5" s="15"/>
      <c r="F5" s="15"/>
      <c r="G5" s="20"/>
      <c r="H5" s="17" t="s">
        <v>44</v>
      </c>
      <c r="I5" s="18">
        <v>46236.166666666664</v>
      </c>
      <c r="J5" s="19" t="str">
        <f>IF(A5="","",IF(COUNTIF($A$4:$A$203,A5)&gt;1,"ID duplicado",IF(AND(C5&lt;&gt;"",COUNTIF($C$4:$C$203,C5)&gt;1),"CPF/CNPJ duplicado","OK")))</f>
        <v>OK</v>
      </c>
    </row>
    <row r="6" spans="1:10" x14ac:dyDescent="0.3">
      <c r="A6" s="17"/>
      <c r="B6" s="15"/>
      <c r="C6" s="16"/>
      <c r="D6" s="18"/>
      <c r="E6" s="15"/>
      <c r="F6" s="15"/>
      <c r="G6" s="20"/>
      <c r="H6" s="17"/>
      <c r="I6" s="18"/>
      <c r="J6" s="19" t="str">
        <f>IF(A6="","",IF(COUNTIF($A$4:$A$203,A6)&gt;1,"ID duplicado",IF(AND(C6&lt;&gt;"",COUNTIF($C$4:$C$203,C6)&gt;1),"CPF/CNPJ duplicado","OK")))</f>
        <v/>
      </c>
    </row>
    <row r="7" spans="1:10" x14ac:dyDescent="0.3">
      <c r="A7" s="17"/>
      <c r="B7" s="15"/>
      <c r="C7" s="16"/>
      <c r="D7" s="18"/>
      <c r="E7" s="15"/>
      <c r="F7" s="15"/>
      <c r="G7" s="20"/>
      <c r="H7" s="17"/>
      <c r="I7" s="18"/>
      <c r="J7" s="19" t="str">
        <f>IF(A7="","",IF(COUNTIF($A$4:$A$203,A7)&gt;1,"ID duplicado",IF(AND(C7&lt;&gt;"",COUNTIF($C$4:$C$203,C7)&gt;1),"CPF/CNPJ duplicado","OK")))</f>
        <v/>
      </c>
    </row>
    <row r="8" spans="1:10" x14ac:dyDescent="0.3">
      <c r="A8" s="17"/>
      <c r="B8" s="15"/>
      <c r="C8" s="16"/>
      <c r="D8" s="18"/>
      <c r="E8" s="15"/>
      <c r="F8" s="15"/>
      <c r="G8" s="20"/>
      <c r="H8" s="17"/>
      <c r="I8" s="18"/>
      <c r="J8" s="19" t="str">
        <f>IF(A8="","",IF(COUNTIF($A$4:$A$203,A8)&gt;1,"ID duplicado",IF(AND(C8&lt;&gt;"",COUNTIF($C$4:$C$203,C8)&gt;1),"CPF/CNPJ duplicado","OK")))</f>
        <v/>
      </c>
    </row>
    <row r="9" spans="1:10" x14ac:dyDescent="0.3">
      <c r="A9" s="17"/>
      <c r="B9" s="15"/>
      <c r="C9" s="16"/>
      <c r="D9" s="18"/>
      <c r="E9" s="15"/>
      <c r="F9" s="15"/>
      <c r="G9" s="20"/>
      <c r="H9" s="17"/>
      <c r="I9" s="18"/>
      <c r="J9" s="19" t="str">
        <f>IF(A9="","",IF(COUNTIF($A$4:$A$203,A9)&gt;1,"ID duplicado",IF(AND(C9&lt;&gt;"",COUNTIF($C$4:$C$203,C9)&gt;1),"CPF/CNPJ duplicado","OK")))</f>
        <v/>
      </c>
    </row>
    <row r="10" spans="1:10" x14ac:dyDescent="0.3">
      <c r="A10" s="17"/>
      <c r="B10" s="15"/>
      <c r="C10" s="16"/>
      <c r="D10" s="18"/>
      <c r="E10" s="15"/>
      <c r="F10" s="15"/>
      <c r="G10" s="20"/>
      <c r="H10" s="17"/>
      <c r="I10" s="18"/>
      <c r="J10" s="19" t="str">
        <f>IF(A10="","",IF(COUNTIF($A$4:$A$203,A10)&gt;1,"ID duplicado",IF(AND(C10&lt;&gt;"",COUNTIF($C$4:$C$203,C10)&gt;1),"CPF/CNPJ duplicado","OK")))</f>
        <v/>
      </c>
    </row>
    <row r="11" spans="1:10" x14ac:dyDescent="0.3">
      <c r="A11" s="17"/>
      <c r="B11" s="15"/>
      <c r="C11" s="16"/>
      <c r="D11" s="18"/>
      <c r="E11" s="15"/>
      <c r="F11" s="15"/>
      <c r="G11" s="20"/>
      <c r="H11" s="17"/>
      <c r="I11" s="18"/>
      <c r="J11" s="19" t="str">
        <f>IF(A11="","",IF(COUNTIF($A$4:$A$203,A11)&gt;1,"ID duplicado",IF(AND(C11&lt;&gt;"",COUNTIF($C$4:$C$203,C11)&gt;1),"CPF/CNPJ duplicado","OK")))</f>
        <v/>
      </c>
    </row>
    <row r="12" spans="1:10" x14ac:dyDescent="0.3">
      <c r="A12" s="17"/>
      <c r="B12" s="15"/>
      <c r="C12" s="16"/>
      <c r="D12" s="18"/>
      <c r="E12" s="15"/>
      <c r="F12" s="15"/>
      <c r="G12" s="20"/>
      <c r="H12" s="17"/>
      <c r="I12" s="18"/>
      <c r="J12" s="19" t="str">
        <f>IF(A12="","",IF(COUNTIF($A$4:$A$203,A12)&gt;1,"ID duplicado",IF(AND(C12&lt;&gt;"",COUNTIF($C$4:$C$203,C12)&gt;1),"CPF/CNPJ duplicado","OK")))</f>
        <v/>
      </c>
    </row>
    <row r="13" spans="1:10" x14ac:dyDescent="0.3">
      <c r="A13" s="17"/>
      <c r="B13" s="15"/>
      <c r="C13" s="16"/>
      <c r="D13" s="18"/>
      <c r="E13" s="15"/>
      <c r="F13" s="15"/>
      <c r="G13" s="20"/>
      <c r="H13" s="17"/>
      <c r="I13" s="18"/>
      <c r="J13" s="19" t="str">
        <f>IF(A13="","",IF(COUNTIF($A$4:$A$203,A13)&gt;1,"ID duplicado",IF(AND(C13&lt;&gt;"",COUNTIF($C$4:$C$203,C13)&gt;1),"CPF/CNPJ duplicado","OK")))</f>
        <v/>
      </c>
    </row>
    <row r="14" spans="1:10" x14ac:dyDescent="0.3">
      <c r="A14" s="17"/>
      <c r="B14" s="15"/>
      <c r="C14" s="16"/>
      <c r="D14" s="18"/>
      <c r="E14" s="15"/>
      <c r="F14" s="15"/>
      <c r="G14" s="20"/>
      <c r="H14" s="17"/>
      <c r="I14" s="18"/>
      <c r="J14" s="19" t="str">
        <f>IF(A14="","",IF(COUNTIF($A$4:$A$203,A14)&gt;1,"ID duplicado",IF(AND(C14&lt;&gt;"",COUNTIF($C$4:$C$203,C14)&gt;1),"CPF/CNPJ duplicado","OK")))</f>
        <v/>
      </c>
    </row>
    <row r="15" spans="1:10" x14ac:dyDescent="0.3">
      <c r="A15" s="17"/>
      <c r="B15" s="15"/>
      <c r="C15" s="16"/>
      <c r="D15" s="18"/>
      <c r="E15" s="15"/>
      <c r="F15" s="15"/>
      <c r="G15" s="20"/>
      <c r="H15" s="17"/>
      <c r="I15" s="18"/>
      <c r="J15" s="19" t="str">
        <f>IF(A15="","",IF(COUNTIF($A$4:$A$203,A15)&gt;1,"ID duplicado",IF(AND(C15&lt;&gt;"",COUNTIF($C$4:$C$203,C15)&gt;1),"CPF/CNPJ duplicado","OK")))</f>
        <v/>
      </c>
    </row>
    <row r="16" spans="1:10" x14ac:dyDescent="0.3">
      <c r="A16" s="17"/>
      <c r="B16" s="15"/>
      <c r="C16" s="16"/>
      <c r="D16" s="18"/>
      <c r="E16" s="15"/>
      <c r="F16" s="15"/>
      <c r="G16" s="20"/>
      <c r="H16" s="17"/>
      <c r="I16" s="18"/>
      <c r="J16" s="19" t="str">
        <f>IF(A16="","",IF(COUNTIF($A$4:$A$203,A16)&gt;1,"ID duplicado",IF(AND(C16&lt;&gt;"",COUNTIF($C$4:$C$203,C16)&gt;1),"CPF/CNPJ duplicado","OK")))</f>
        <v/>
      </c>
    </row>
    <row r="17" spans="1:10" x14ac:dyDescent="0.3">
      <c r="A17" s="17"/>
      <c r="B17" s="15"/>
      <c r="C17" s="16"/>
      <c r="D17" s="18"/>
      <c r="E17" s="15"/>
      <c r="F17" s="15"/>
      <c r="G17" s="20"/>
      <c r="H17" s="17"/>
      <c r="I17" s="18"/>
      <c r="J17" s="19" t="str">
        <f>IF(A17="","",IF(COUNTIF($A$4:$A$203,A17)&gt;1,"ID duplicado",IF(AND(C17&lt;&gt;"",COUNTIF($C$4:$C$203,C17)&gt;1),"CPF/CNPJ duplicado","OK")))</f>
        <v/>
      </c>
    </row>
    <row r="18" spans="1:10" x14ac:dyDescent="0.3">
      <c r="A18" s="17"/>
      <c r="B18" s="15"/>
      <c r="C18" s="16"/>
      <c r="D18" s="18"/>
      <c r="E18" s="15"/>
      <c r="F18" s="15"/>
      <c r="G18" s="20"/>
      <c r="H18" s="17"/>
      <c r="I18" s="18"/>
      <c r="J18" s="19" t="str">
        <f>IF(A18="","",IF(COUNTIF($A$4:$A$203,A18)&gt;1,"ID duplicado",IF(AND(C18&lt;&gt;"",COUNTIF($C$4:$C$203,C18)&gt;1),"CPF/CNPJ duplicado","OK")))</f>
        <v/>
      </c>
    </row>
    <row r="19" spans="1:10" x14ac:dyDescent="0.3">
      <c r="A19" s="17"/>
      <c r="B19" s="15"/>
      <c r="C19" s="16"/>
      <c r="D19" s="18"/>
      <c r="E19" s="15"/>
      <c r="F19" s="15"/>
      <c r="G19" s="20"/>
      <c r="H19" s="17"/>
      <c r="I19" s="18"/>
      <c r="J19" s="19" t="str">
        <f>IF(A19="","",IF(COUNTIF($A$4:$A$203,A19)&gt;1,"ID duplicado",IF(AND(C19&lt;&gt;"",COUNTIF($C$4:$C$203,C19)&gt;1),"CPF/CNPJ duplicado","OK")))</f>
        <v/>
      </c>
    </row>
    <row r="20" spans="1:10" x14ac:dyDescent="0.3">
      <c r="A20" s="17"/>
      <c r="B20" s="15"/>
      <c r="C20" s="16"/>
      <c r="D20" s="18"/>
      <c r="E20" s="15"/>
      <c r="F20" s="15"/>
      <c r="G20" s="20"/>
      <c r="H20" s="17"/>
      <c r="I20" s="18"/>
      <c r="J20" s="19" t="str">
        <f>IF(A20="","",IF(COUNTIF($A$4:$A$203,A20)&gt;1,"ID duplicado",IF(AND(C20&lt;&gt;"",COUNTIF($C$4:$C$203,C20)&gt;1),"CPF/CNPJ duplicado","OK")))</f>
        <v/>
      </c>
    </row>
    <row r="21" spans="1:10" x14ac:dyDescent="0.3">
      <c r="A21" s="17"/>
      <c r="B21" s="15"/>
      <c r="C21" s="16"/>
      <c r="D21" s="18"/>
      <c r="E21" s="15"/>
      <c r="F21" s="15"/>
      <c r="G21" s="20"/>
      <c r="H21" s="17"/>
      <c r="I21" s="18"/>
      <c r="J21" s="19" t="str">
        <f>IF(A21="","",IF(COUNTIF($A$4:$A$203,A21)&gt;1,"ID duplicado",IF(AND(C21&lt;&gt;"",COUNTIF($C$4:$C$203,C21)&gt;1),"CPF/CNPJ duplicado","OK")))</f>
        <v/>
      </c>
    </row>
    <row r="22" spans="1:10" x14ac:dyDescent="0.3">
      <c r="A22" s="17"/>
      <c r="B22" s="15"/>
      <c r="C22" s="16"/>
      <c r="D22" s="18"/>
      <c r="E22" s="15"/>
      <c r="F22" s="15"/>
      <c r="G22" s="20"/>
      <c r="H22" s="17"/>
      <c r="I22" s="18"/>
      <c r="J22" s="19" t="str">
        <f>IF(A22="","",IF(COUNTIF($A$4:$A$203,A22)&gt;1,"ID duplicado",IF(AND(C22&lt;&gt;"",COUNTIF($C$4:$C$203,C22)&gt;1),"CPF/CNPJ duplicado","OK")))</f>
        <v/>
      </c>
    </row>
    <row r="23" spans="1:10" x14ac:dyDescent="0.3">
      <c r="A23" s="17"/>
      <c r="B23" s="15"/>
      <c r="C23" s="16"/>
      <c r="D23" s="18"/>
      <c r="E23" s="15"/>
      <c r="F23" s="15"/>
      <c r="G23" s="20"/>
      <c r="H23" s="17"/>
      <c r="I23" s="18"/>
      <c r="J23" s="19" t="str">
        <f>IF(A23="","",IF(COUNTIF($A$4:$A$203,A23)&gt;1,"ID duplicado",IF(AND(C23&lt;&gt;"",COUNTIF($C$4:$C$203,C23)&gt;1),"CPF/CNPJ duplicado","OK")))</f>
        <v/>
      </c>
    </row>
    <row r="24" spans="1:10" x14ac:dyDescent="0.3">
      <c r="A24" s="17"/>
      <c r="B24" s="15"/>
      <c r="C24" s="16"/>
      <c r="D24" s="18"/>
      <c r="E24" s="15"/>
      <c r="F24" s="15"/>
      <c r="G24" s="20"/>
      <c r="H24" s="17"/>
      <c r="I24" s="18"/>
      <c r="J24" s="19" t="str">
        <f>IF(A24="","",IF(COUNTIF($A$4:$A$203,A24)&gt;1,"ID duplicado",IF(AND(C24&lt;&gt;"",COUNTIF($C$4:$C$203,C24)&gt;1),"CPF/CNPJ duplicado","OK")))</f>
        <v/>
      </c>
    </row>
    <row r="25" spans="1:10" x14ac:dyDescent="0.3">
      <c r="A25" s="17"/>
      <c r="B25" s="15"/>
      <c r="C25" s="16"/>
      <c r="D25" s="18"/>
      <c r="E25" s="15"/>
      <c r="F25" s="15"/>
      <c r="G25" s="20"/>
      <c r="H25" s="17"/>
      <c r="I25" s="18"/>
      <c r="J25" s="19" t="str">
        <f>IF(A25="","",IF(COUNTIF($A$4:$A$203,A25)&gt;1,"ID duplicado",IF(AND(C25&lt;&gt;"",COUNTIF($C$4:$C$203,C25)&gt;1),"CPF/CNPJ duplicado","OK")))</f>
        <v/>
      </c>
    </row>
    <row r="26" spans="1:10" x14ac:dyDescent="0.3">
      <c r="A26" s="17"/>
      <c r="B26" s="15"/>
      <c r="C26" s="16"/>
      <c r="D26" s="18"/>
      <c r="E26" s="15"/>
      <c r="F26" s="15"/>
      <c r="G26" s="20"/>
      <c r="H26" s="17"/>
      <c r="I26" s="18"/>
      <c r="J26" s="19" t="str">
        <f>IF(A26="","",IF(COUNTIF($A$4:$A$203,A26)&gt;1,"ID duplicado",IF(AND(C26&lt;&gt;"",COUNTIF($C$4:$C$203,C26)&gt;1),"CPF/CNPJ duplicado","OK")))</f>
        <v/>
      </c>
    </row>
    <row r="27" spans="1:10" x14ac:dyDescent="0.3">
      <c r="A27" s="17"/>
      <c r="B27" s="15"/>
      <c r="C27" s="16"/>
      <c r="D27" s="18"/>
      <c r="E27" s="15"/>
      <c r="F27" s="15"/>
      <c r="G27" s="20"/>
      <c r="H27" s="17"/>
      <c r="I27" s="18"/>
      <c r="J27" s="19" t="str">
        <f>IF(A27="","",IF(COUNTIF($A$4:$A$203,A27)&gt;1,"ID duplicado",IF(AND(C27&lt;&gt;"",COUNTIF($C$4:$C$203,C27)&gt;1),"CPF/CNPJ duplicado","OK")))</f>
        <v/>
      </c>
    </row>
    <row r="28" spans="1:10" x14ac:dyDescent="0.3">
      <c r="A28" s="17"/>
      <c r="B28" s="15"/>
      <c r="C28" s="16"/>
      <c r="D28" s="18"/>
      <c r="E28" s="15"/>
      <c r="F28" s="15"/>
      <c r="G28" s="20"/>
      <c r="H28" s="17"/>
      <c r="I28" s="18"/>
      <c r="J28" s="19" t="str">
        <f>IF(A28="","",IF(COUNTIF($A$4:$A$203,A28)&gt;1,"ID duplicado",IF(AND(C28&lt;&gt;"",COUNTIF($C$4:$C$203,C28)&gt;1),"CPF/CNPJ duplicado","OK")))</f>
        <v/>
      </c>
    </row>
    <row r="29" spans="1:10" x14ac:dyDescent="0.3">
      <c r="A29" s="17"/>
      <c r="B29" s="15"/>
      <c r="C29" s="16"/>
      <c r="D29" s="18"/>
      <c r="E29" s="15"/>
      <c r="F29" s="15"/>
      <c r="G29" s="20"/>
      <c r="H29" s="17"/>
      <c r="I29" s="18"/>
      <c r="J29" s="19" t="str">
        <f>IF(A29="","",IF(COUNTIF($A$4:$A$203,A29)&gt;1,"ID duplicado",IF(AND(C29&lt;&gt;"",COUNTIF($C$4:$C$203,C29)&gt;1),"CPF/CNPJ duplicado","OK")))</f>
        <v/>
      </c>
    </row>
    <row r="30" spans="1:10" x14ac:dyDescent="0.3">
      <c r="A30" s="17"/>
      <c r="B30" s="15"/>
      <c r="C30" s="16"/>
      <c r="D30" s="18"/>
      <c r="E30" s="15"/>
      <c r="F30" s="15"/>
      <c r="G30" s="20"/>
      <c r="H30" s="17"/>
      <c r="I30" s="18"/>
      <c r="J30" s="19" t="str">
        <f>IF(A30="","",IF(COUNTIF($A$4:$A$203,A30)&gt;1,"ID duplicado",IF(AND(C30&lt;&gt;"",COUNTIF($C$4:$C$203,C30)&gt;1),"CPF/CNPJ duplicado","OK")))</f>
        <v/>
      </c>
    </row>
    <row r="31" spans="1:10" x14ac:dyDescent="0.3">
      <c r="A31" s="17"/>
      <c r="B31" s="15"/>
      <c r="C31" s="16"/>
      <c r="D31" s="18"/>
      <c r="E31" s="15"/>
      <c r="F31" s="15"/>
      <c r="G31" s="20"/>
      <c r="H31" s="17"/>
      <c r="I31" s="18"/>
      <c r="J31" s="19" t="str">
        <f>IF(A31="","",IF(COUNTIF($A$4:$A$203,A31)&gt;1,"ID duplicado",IF(AND(C31&lt;&gt;"",COUNTIF($C$4:$C$203,C31)&gt;1),"CPF/CNPJ duplicado","OK")))</f>
        <v/>
      </c>
    </row>
    <row r="32" spans="1:10" x14ac:dyDescent="0.3">
      <c r="A32" s="17"/>
      <c r="B32" s="15"/>
      <c r="C32" s="16"/>
      <c r="D32" s="18"/>
      <c r="E32" s="15"/>
      <c r="F32" s="15"/>
      <c r="G32" s="20"/>
      <c r="H32" s="17"/>
      <c r="I32" s="18"/>
      <c r="J32" s="19" t="str">
        <f>IF(A32="","",IF(COUNTIF($A$4:$A$203,A32)&gt;1,"ID duplicado",IF(AND(C32&lt;&gt;"",COUNTIF($C$4:$C$203,C32)&gt;1),"CPF/CNPJ duplicado","OK")))</f>
        <v/>
      </c>
    </row>
    <row r="33" spans="1:10" x14ac:dyDescent="0.3">
      <c r="A33" s="17"/>
      <c r="B33" s="15"/>
      <c r="C33" s="16"/>
      <c r="D33" s="18"/>
      <c r="E33" s="15"/>
      <c r="F33" s="15"/>
      <c r="G33" s="20"/>
      <c r="H33" s="17"/>
      <c r="I33" s="18"/>
      <c r="J33" s="19" t="str">
        <f>IF(A33="","",IF(COUNTIF($A$4:$A$203,A33)&gt;1,"ID duplicado",IF(AND(C33&lt;&gt;"",COUNTIF($C$4:$C$203,C33)&gt;1),"CPF/CNPJ duplicado","OK")))</f>
        <v/>
      </c>
    </row>
    <row r="34" spans="1:10" x14ac:dyDescent="0.3">
      <c r="A34" s="17"/>
      <c r="B34" s="15"/>
      <c r="C34" s="16"/>
      <c r="D34" s="18"/>
      <c r="E34" s="15"/>
      <c r="F34" s="15"/>
      <c r="G34" s="20"/>
      <c r="H34" s="17"/>
      <c r="I34" s="18"/>
      <c r="J34" s="19" t="str">
        <f>IF(A34="","",IF(COUNTIF($A$4:$A$203,A34)&gt;1,"ID duplicado",IF(AND(C34&lt;&gt;"",COUNTIF($C$4:$C$203,C34)&gt;1),"CPF/CNPJ duplicado","OK")))</f>
        <v/>
      </c>
    </row>
    <row r="35" spans="1:10" x14ac:dyDescent="0.3">
      <c r="A35" s="17"/>
      <c r="B35" s="15"/>
      <c r="C35" s="16"/>
      <c r="D35" s="18"/>
      <c r="E35" s="15"/>
      <c r="F35" s="15"/>
      <c r="G35" s="20"/>
      <c r="H35" s="17"/>
      <c r="I35" s="18"/>
      <c r="J35" s="19" t="str">
        <f>IF(A35="","",IF(COUNTIF($A$4:$A$203,A35)&gt;1,"ID duplicado",IF(AND(C35&lt;&gt;"",COUNTIF($C$4:$C$203,C35)&gt;1),"CPF/CNPJ duplicado","OK")))</f>
        <v/>
      </c>
    </row>
    <row r="36" spans="1:10" x14ac:dyDescent="0.3">
      <c r="A36" s="17"/>
      <c r="B36" s="15"/>
      <c r="C36" s="16"/>
      <c r="D36" s="18"/>
      <c r="E36" s="15"/>
      <c r="F36" s="15"/>
      <c r="G36" s="20"/>
      <c r="H36" s="17"/>
      <c r="I36" s="18"/>
      <c r="J36" s="19" t="str">
        <f>IF(A36="","",IF(COUNTIF($A$4:$A$203,A36)&gt;1,"ID duplicado",IF(AND(C36&lt;&gt;"",COUNTIF($C$4:$C$203,C36)&gt;1),"CPF/CNPJ duplicado","OK")))</f>
        <v/>
      </c>
    </row>
    <row r="37" spans="1:10" x14ac:dyDescent="0.3">
      <c r="A37" s="17"/>
      <c r="B37" s="15"/>
      <c r="C37" s="16"/>
      <c r="D37" s="18"/>
      <c r="E37" s="15"/>
      <c r="F37" s="15"/>
      <c r="G37" s="20"/>
      <c r="H37" s="17"/>
      <c r="I37" s="18"/>
      <c r="J37" s="19" t="str">
        <f>IF(A37="","",IF(COUNTIF($A$4:$A$203,A37)&gt;1,"ID duplicado",IF(AND(C37&lt;&gt;"",COUNTIF($C$4:$C$203,C37)&gt;1),"CPF/CNPJ duplicado","OK")))</f>
        <v/>
      </c>
    </row>
    <row r="38" spans="1:10" x14ac:dyDescent="0.3">
      <c r="A38" s="17"/>
      <c r="B38" s="15"/>
      <c r="C38" s="16"/>
      <c r="D38" s="18"/>
      <c r="E38" s="15"/>
      <c r="F38" s="15"/>
      <c r="G38" s="20"/>
      <c r="H38" s="17"/>
      <c r="I38" s="18"/>
      <c r="J38" s="19" t="str">
        <f>IF(A38="","",IF(COUNTIF($A$4:$A$203,A38)&gt;1,"ID duplicado",IF(AND(C38&lt;&gt;"",COUNTIF($C$4:$C$203,C38)&gt;1),"CPF/CNPJ duplicado","OK")))</f>
        <v/>
      </c>
    </row>
    <row r="39" spans="1:10" x14ac:dyDescent="0.3">
      <c r="A39" s="17"/>
      <c r="B39" s="15"/>
      <c r="C39" s="16"/>
      <c r="D39" s="18"/>
      <c r="E39" s="15"/>
      <c r="F39" s="15"/>
      <c r="G39" s="20"/>
      <c r="H39" s="17"/>
      <c r="I39" s="18"/>
      <c r="J39" s="19" t="str">
        <f>IF(A39="","",IF(COUNTIF($A$4:$A$203,A39)&gt;1,"ID duplicado",IF(AND(C39&lt;&gt;"",COUNTIF($C$4:$C$203,C39)&gt;1),"CPF/CNPJ duplicado","OK")))</f>
        <v/>
      </c>
    </row>
    <row r="40" spans="1:10" x14ac:dyDescent="0.3">
      <c r="A40" s="17"/>
      <c r="B40" s="15"/>
      <c r="C40" s="16"/>
      <c r="D40" s="18"/>
      <c r="E40" s="15"/>
      <c r="F40" s="15"/>
      <c r="G40" s="20"/>
      <c r="H40" s="17"/>
      <c r="I40" s="18"/>
      <c r="J40" s="19" t="str">
        <f>IF(A40="","",IF(COUNTIF($A$4:$A$203,A40)&gt;1,"ID duplicado",IF(AND(C40&lt;&gt;"",COUNTIF($C$4:$C$203,C40)&gt;1),"CPF/CNPJ duplicado","OK")))</f>
        <v/>
      </c>
    </row>
    <row r="41" spans="1:10" x14ac:dyDescent="0.3">
      <c r="A41" s="17"/>
      <c r="B41" s="15"/>
      <c r="C41" s="16"/>
      <c r="D41" s="18"/>
      <c r="E41" s="15"/>
      <c r="F41" s="15"/>
      <c r="G41" s="20"/>
      <c r="H41" s="17"/>
      <c r="I41" s="18"/>
      <c r="J41" s="19" t="str">
        <f>IF(A41="","",IF(COUNTIF($A$4:$A$203,A41)&gt;1,"ID duplicado",IF(AND(C41&lt;&gt;"",COUNTIF($C$4:$C$203,C41)&gt;1),"CPF/CNPJ duplicado","OK")))</f>
        <v/>
      </c>
    </row>
    <row r="42" spans="1:10" x14ac:dyDescent="0.3">
      <c r="A42" s="17"/>
      <c r="B42" s="15"/>
      <c r="C42" s="16"/>
      <c r="D42" s="18"/>
      <c r="E42" s="15"/>
      <c r="F42" s="15"/>
      <c r="G42" s="20"/>
      <c r="H42" s="17"/>
      <c r="I42" s="18"/>
      <c r="J42" s="19" t="str">
        <f>IF(A42="","",IF(COUNTIF($A$4:$A$203,A42)&gt;1,"ID duplicado",IF(AND(C42&lt;&gt;"",COUNTIF($C$4:$C$203,C42)&gt;1),"CPF/CNPJ duplicado","OK")))</f>
        <v/>
      </c>
    </row>
    <row r="43" spans="1:10" x14ac:dyDescent="0.3">
      <c r="A43" s="17"/>
      <c r="B43" s="15"/>
      <c r="C43" s="16"/>
      <c r="D43" s="18"/>
      <c r="E43" s="15"/>
      <c r="F43" s="15"/>
      <c r="G43" s="20"/>
      <c r="H43" s="17"/>
      <c r="I43" s="18"/>
      <c r="J43" s="19" t="str">
        <f>IF(A43="","",IF(COUNTIF($A$4:$A$203,A43)&gt;1,"ID duplicado",IF(AND(C43&lt;&gt;"",COUNTIF($C$4:$C$203,C43)&gt;1),"CPF/CNPJ duplicado","OK")))</f>
        <v/>
      </c>
    </row>
    <row r="44" spans="1:10" x14ac:dyDescent="0.3">
      <c r="A44" s="17"/>
      <c r="B44" s="15"/>
      <c r="C44" s="16"/>
      <c r="D44" s="18"/>
      <c r="E44" s="15"/>
      <c r="F44" s="15"/>
      <c r="G44" s="20"/>
      <c r="H44" s="17"/>
      <c r="I44" s="18"/>
      <c r="J44" s="19" t="str">
        <f>IF(A44="","",IF(COUNTIF($A$4:$A$203,A44)&gt;1,"ID duplicado",IF(AND(C44&lt;&gt;"",COUNTIF($C$4:$C$203,C44)&gt;1),"CPF/CNPJ duplicado","OK")))</f>
        <v/>
      </c>
    </row>
    <row r="45" spans="1:10" x14ac:dyDescent="0.3">
      <c r="A45" s="17"/>
      <c r="B45" s="15"/>
      <c r="C45" s="16"/>
      <c r="D45" s="18"/>
      <c r="E45" s="15"/>
      <c r="F45" s="15"/>
      <c r="G45" s="20"/>
      <c r="H45" s="17"/>
      <c r="I45" s="18"/>
      <c r="J45" s="19" t="str">
        <f>IF(A45="","",IF(COUNTIF($A$4:$A$203,A45)&gt;1,"ID duplicado",IF(AND(C45&lt;&gt;"",COUNTIF($C$4:$C$203,C45)&gt;1),"CPF/CNPJ duplicado","OK")))</f>
        <v/>
      </c>
    </row>
    <row r="46" spans="1:10" x14ac:dyDescent="0.3">
      <c r="A46" s="17"/>
      <c r="B46" s="15"/>
      <c r="C46" s="16"/>
      <c r="D46" s="18"/>
      <c r="E46" s="15"/>
      <c r="F46" s="15"/>
      <c r="G46" s="20"/>
      <c r="H46" s="17"/>
      <c r="I46" s="18"/>
      <c r="J46" s="19" t="str">
        <f>IF(A46="","",IF(COUNTIF($A$4:$A$203,A46)&gt;1,"ID duplicado",IF(AND(C46&lt;&gt;"",COUNTIF($C$4:$C$203,C46)&gt;1),"CPF/CNPJ duplicado","OK")))</f>
        <v/>
      </c>
    </row>
    <row r="47" spans="1:10" x14ac:dyDescent="0.3">
      <c r="A47" s="17"/>
      <c r="B47" s="15"/>
      <c r="C47" s="16"/>
      <c r="D47" s="18"/>
      <c r="E47" s="15"/>
      <c r="F47" s="15"/>
      <c r="G47" s="20"/>
      <c r="H47" s="17"/>
      <c r="I47" s="18"/>
      <c r="J47" s="19" t="str">
        <f>IF(A47="","",IF(COUNTIF($A$4:$A$203,A47)&gt;1,"ID duplicado",IF(AND(C47&lt;&gt;"",COUNTIF($C$4:$C$203,C47)&gt;1),"CPF/CNPJ duplicado","OK")))</f>
        <v/>
      </c>
    </row>
    <row r="48" spans="1:10" x14ac:dyDescent="0.3">
      <c r="A48" s="17"/>
      <c r="B48" s="15"/>
      <c r="C48" s="16"/>
      <c r="D48" s="18"/>
      <c r="E48" s="15"/>
      <c r="F48" s="15"/>
      <c r="G48" s="20"/>
      <c r="H48" s="17"/>
      <c r="I48" s="18"/>
      <c r="J48" s="19" t="str">
        <f>IF(A48="","",IF(COUNTIF($A$4:$A$203,A48)&gt;1,"ID duplicado",IF(AND(C48&lt;&gt;"",COUNTIF($C$4:$C$203,C48)&gt;1),"CPF/CNPJ duplicado","OK")))</f>
        <v/>
      </c>
    </row>
    <row r="49" spans="1:10" x14ac:dyDescent="0.3">
      <c r="A49" s="17"/>
      <c r="B49" s="15"/>
      <c r="C49" s="16"/>
      <c r="D49" s="18"/>
      <c r="E49" s="15"/>
      <c r="F49" s="15"/>
      <c r="G49" s="20"/>
      <c r="H49" s="17"/>
      <c r="I49" s="18"/>
      <c r="J49" s="19" t="str">
        <f>IF(A49="","",IF(COUNTIF($A$4:$A$203,A49)&gt;1,"ID duplicado",IF(AND(C49&lt;&gt;"",COUNTIF($C$4:$C$203,C49)&gt;1),"CPF/CNPJ duplicado","OK")))</f>
        <v/>
      </c>
    </row>
    <row r="50" spans="1:10" x14ac:dyDescent="0.3">
      <c r="A50" s="17"/>
      <c r="B50" s="15"/>
      <c r="C50" s="16"/>
      <c r="D50" s="18"/>
      <c r="E50" s="15"/>
      <c r="F50" s="15"/>
      <c r="G50" s="20"/>
      <c r="H50" s="17"/>
      <c r="I50" s="18"/>
      <c r="J50" s="19" t="str">
        <f>IF(A50="","",IF(COUNTIF($A$4:$A$203,A50)&gt;1,"ID duplicado",IF(AND(C50&lt;&gt;"",COUNTIF($C$4:$C$203,C50)&gt;1),"CPF/CNPJ duplicado","OK")))</f>
        <v/>
      </c>
    </row>
    <row r="51" spans="1:10" x14ac:dyDescent="0.3">
      <c r="A51" s="17"/>
      <c r="B51" s="15"/>
      <c r="C51" s="16"/>
      <c r="D51" s="18"/>
      <c r="E51" s="15"/>
      <c r="F51" s="15"/>
      <c r="G51" s="20"/>
      <c r="H51" s="17"/>
      <c r="I51" s="18"/>
      <c r="J51" s="19" t="str">
        <f>IF(A51="","",IF(COUNTIF($A$4:$A$203,A51)&gt;1,"ID duplicado",IF(AND(C51&lt;&gt;"",COUNTIF($C$4:$C$203,C51)&gt;1),"CPF/CNPJ duplicado","OK")))</f>
        <v/>
      </c>
    </row>
    <row r="52" spans="1:10" x14ac:dyDescent="0.3">
      <c r="A52" s="17"/>
      <c r="B52" s="15"/>
      <c r="C52" s="16"/>
      <c r="D52" s="18"/>
      <c r="E52" s="15"/>
      <c r="F52" s="15"/>
      <c r="G52" s="20"/>
      <c r="H52" s="17"/>
      <c r="I52" s="18"/>
      <c r="J52" s="19" t="str">
        <f>IF(A52="","",IF(COUNTIF($A$4:$A$203,A52)&gt;1,"ID duplicado",IF(AND(C52&lt;&gt;"",COUNTIF($C$4:$C$203,C52)&gt;1),"CPF/CNPJ duplicado","OK")))</f>
        <v/>
      </c>
    </row>
    <row r="53" spans="1:10" x14ac:dyDescent="0.3">
      <c r="A53" s="17"/>
      <c r="B53" s="15"/>
      <c r="C53" s="16"/>
      <c r="D53" s="18"/>
      <c r="E53" s="15"/>
      <c r="F53" s="15"/>
      <c r="G53" s="20"/>
      <c r="H53" s="17"/>
      <c r="I53" s="18"/>
      <c r="J53" s="19" t="str">
        <f>IF(A53="","",IF(COUNTIF($A$4:$A$203,A53)&gt;1,"ID duplicado",IF(AND(C53&lt;&gt;"",COUNTIF($C$4:$C$203,C53)&gt;1),"CPF/CNPJ duplicado","OK")))</f>
        <v/>
      </c>
    </row>
    <row r="54" spans="1:10" x14ac:dyDescent="0.3">
      <c r="A54" s="17"/>
      <c r="B54" s="15"/>
      <c r="C54" s="16"/>
      <c r="D54" s="18"/>
      <c r="E54" s="15"/>
      <c r="F54" s="15"/>
      <c r="G54" s="20"/>
      <c r="H54" s="17"/>
      <c r="I54" s="18"/>
      <c r="J54" s="19" t="str">
        <f>IF(A54="","",IF(COUNTIF($A$4:$A$203,A54)&gt;1,"ID duplicado",IF(AND(C54&lt;&gt;"",COUNTIF($C$4:$C$203,C54)&gt;1),"CPF/CNPJ duplicado","OK")))</f>
        <v/>
      </c>
    </row>
    <row r="55" spans="1:10" x14ac:dyDescent="0.3">
      <c r="A55" s="17"/>
      <c r="B55" s="15"/>
      <c r="C55" s="16"/>
      <c r="D55" s="18"/>
      <c r="E55" s="15"/>
      <c r="F55" s="15"/>
      <c r="G55" s="20"/>
      <c r="H55" s="17"/>
      <c r="I55" s="18"/>
      <c r="J55" s="19" t="str">
        <f>IF(A55="","",IF(COUNTIF($A$4:$A$203,A55)&gt;1,"ID duplicado",IF(AND(C55&lt;&gt;"",COUNTIF($C$4:$C$203,C55)&gt;1),"CPF/CNPJ duplicado","OK")))</f>
        <v/>
      </c>
    </row>
    <row r="56" spans="1:10" x14ac:dyDescent="0.3">
      <c r="A56" s="17"/>
      <c r="B56" s="15"/>
      <c r="C56" s="16"/>
      <c r="D56" s="18"/>
      <c r="E56" s="15"/>
      <c r="F56" s="15"/>
      <c r="G56" s="20"/>
      <c r="H56" s="17"/>
      <c r="I56" s="18"/>
      <c r="J56" s="19" t="str">
        <f>IF(A56="","",IF(COUNTIF($A$4:$A$203,A56)&gt;1,"ID duplicado",IF(AND(C56&lt;&gt;"",COUNTIF($C$4:$C$203,C56)&gt;1),"CPF/CNPJ duplicado","OK")))</f>
        <v/>
      </c>
    </row>
    <row r="57" spans="1:10" x14ac:dyDescent="0.3">
      <c r="A57" s="17"/>
      <c r="B57" s="15"/>
      <c r="C57" s="16"/>
      <c r="D57" s="18"/>
      <c r="E57" s="15"/>
      <c r="F57" s="15"/>
      <c r="G57" s="20"/>
      <c r="H57" s="17"/>
      <c r="I57" s="18"/>
      <c r="J57" s="19" t="str">
        <f>IF(A57="","",IF(COUNTIF($A$4:$A$203,A57)&gt;1,"ID duplicado",IF(AND(C57&lt;&gt;"",COUNTIF($C$4:$C$203,C57)&gt;1),"CPF/CNPJ duplicado","OK")))</f>
        <v/>
      </c>
    </row>
    <row r="58" spans="1:10" x14ac:dyDescent="0.3">
      <c r="A58" s="17"/>
      <c r="B58" s="15"/>
      <c r="C58" s="16"/>
      <c r="D58" s="18"/>
      <c r="E58" s="15"/>
      <c r="F58" s="15"/>
      <c r="G58" s="20"/>
      <c r="H58" s="17"/>
      <c r="I58" s="18"/>
      <c r="J58" s="19" t="str">
        <f>IF(A58="","",IF(COUNTIF($A$4:$A$203,A58)&gt;1,"ID duplicado",IF(AND(C58&lt;&gt;"",COUNTIF($C$4:$C$203,C58)&gt;1),"CPF/CNPJ duplicado","OK")))</f>
        <v/>
      </c>
    </row>
    <row r="59" spans="1:10" x14ac:dyDescent="0.3">
      <c r="A59" s="17"/>
      <c r="B59" s="15"/>
      <c r="C59" s="16"/>
      <c r="D59" s="18"/>
      <c r="E59" s="15"/>
      <c r="F59" s="15"/>
      <c r="G59" s="20"/>
      <c r="H59" s="17"/>
      <c r="I59" s="18"/>
      <c r="J59" s="19" t="str">
        <f>IF(A59="","",IF(COUNTIF($A$4:$A$203,A59)&gt;1,"ID duplicado",IF(AND(C59&lt;&gt;"",COUNTIF($C$4:$C$203,C59)&gt;1),"CPF/CNPJ duplicado","OK")))</f>
        <v/>
      </c>
    </row>
    <row r="60" spans="1:10" x14ac:dyDescent="0.3">
      <c r="A60" s="17"/>
      <c r="B60" s="15"/>
      <c r="C60" s="16"/>
      <c r="D60" s="18"/>
      <c r="E60" s="15"/>
      <c r="F60" s="15"/>
      <c r="G60" s="20"/>
      <c r="H60" s="17"/>
      <c r="I60" s="18"/>
      <c r="J60" s="19" t="str">
        <f>IF(A60="","",IF(COUNTIF($A$4:$A$203,A60)&gt;1,"ID duplicado",IF(AND(C60&lt;&gt;"",COUNTIF($C$4:$C$203,C60)&gt;1),"CPF/CNPJ duplicado","OK")))</f>
        <v/>
      </c>
    </row>
    <row r="61" spans="1:10" x14ac:dyDescent="0.3">
      <c r="A61" s="17"/>
      <c r="B61" s="15"/>
      <c r="C61" s="16"/>
      <c r="D61" s="18"/>
      <c r="E61" s="15"/>
      <c r="F61" s="15"/>
      <c r="G61" s="20"/>
      <c r="H61" s="17"/>
      <c r="I61" s="18"/>
      <c r="J61" s="19" t="str">
        <f>IF(A61="","",IF(COUNTIF($A$4:$A$203,A61)&gt;1,"ID duplicado",IF(AND(C61&lt;&gt;"",COUNTIF($C$4:$C$203,C61)&gt;1),"CPF/CNPJ duplicado","OK")))</f>
        <v/>
      </c>
    </row>
    <row r="62" spans="1:10" x14ac:dyDescent="0.3">
      <c r="A62" s="17"/>
      <c r="B62" s="15"/>
      <c r="C62" s="16"/>
      <c r="D62" s="18"/>
      <c r="E62" s="15"/>
      <c r="F62" s="15"/>
      <c r="G62" s="20"/>
      <c r="H62" s="17"/>
      <c r="I62" s="18"/>
      <c r="J62" s="19" t="str">
        <f>IF(A62="","",IF(COUNTIF($A$4:$A$203,A62)&gt;1,"ID duplicado",IF(AND(C62&lt;&gt;"",COUNTIF($C$4:$C$203,C62)&gt;1),"CPF/CNPJ duplicado","OK")))</f>
        <v/>
      </c>
    </row>
    <row r="63" spans="1:10" x14ac:dyDescent="0.3">
      <c r="A63" s="17"/>
      <c r="B63" s="15"/>
      <c r="C63" s="16"/>
      <c r="D63" s="18"/>
      <c r="E63" s="15"/>
      <c r="F63" s="15"/>
      <c r="G63" s="20"/>
      <c r="H63" s="17"/>
      <c r="I63" s="18"/>
      <c r="J63" s="19" t="str">
        <f>IF(A63="","",IF(COUNTIF($A$4:$A$203,A63)&gt;1,"ID duplicado",IF(AND(C63&lt;&gt;"",COUNTIF($C$4:$C$203,C63)&gt;1),"CPF/CNPJ duplicado","OK")))</f>
        <v/>
      </c>
    </row>
    <row r="64" spans="1:10" x14ac:dyDescent="0.3">
      <c r="A64" s="17"/>
      <c r="B64" s="15"/>
      <c r="C64" s="16"/>
      <c r="D64" s="18"/>
      <c r="E64" s="15"/>
      <c r="F64" s="15"/>
      <c r="G64" s="20"/>
      <c r="H64" s="17"/>
      <c r="I64" s="18"/>
      <c r="J64" s="19" t="str">
        <f>IF(A64="","",IF(COUNTIF($A$4:$A$203,A64)&gt;1,"ID duplicado",IF(AND(C64&lt;&gt;"",COUNTIF($C$4:$C$203,C64)&gt;1),"CPF/CNPJ duplicado","OK")))</f>
        <v/>
      </c>
    </row>
    <row r="65" spans="1:10" x14ac:dyDescent="0.3">
      <c r="A65" s="17"/>
      <c r="B65" s="15"/>
      <c r="C65" s="16"/>
      <c r="D65" s="18"/>
      <c r="E65" s="15"/>
      <c r="F65" s="15"/>
      <c r="G65" s="20"/>
      <c r="H65" s="17"/>
      <c r="I65" s="18"/>
      <c r="J65" s="19" t="str">
        <f>IF(A65="","",IF(COUNTIF($A$4:$A$203,A65)&gt;1,"ID duplicado",IF(AND(C65&lt;&gt;"",COUNTIF($C$4:$C$203,C65)&gt;1),"CPF/CNPJ duplicado","OK")))</f>
        <v/>
      </c>
    </row>
    <row r="66" spans="1:10" x14ac:dyDescent="0.3">
      <c r="A66" s="17"/>
      <c r="B66" s="15"/>
      <c r="C66" s="16"/>
      <c r="D66" s="18"/>
      <c r="E66" s="15"/>
      <c r="F66" s="15"/>
      <c r="G66" s="20"/>
      <c r="H66" s="17"/>
      <c r="I66" s="18"/>
      <c r="J66" s="19" t="str">
        <f>IF(A66="","",IF(COUNTIF($A$4:$A$203,A66)&gt;1,"ID duplicado",IF(AND(C66&lt;&gt;"",COUNTIF($C$4:$C$203,C66)&gt;1),"CPF/CNPJ duplicado","OK")))</f>
        <v/>
      </c>
    </row>
    <row r="67" spans="1:10" x14ac:dyDescent="0.3">
      <c r="A67" s="17"/>
      <c r="B67" s="15"/>
      <c r="C67" s="16"/>
      <c r="D67" s="18"/>
      <c r="E67" s="15"/>
      <c r="F67" s="15"/>
      <c r="G67" s="20"/>
      <c r="H67" s="17"/>
      <c r="I67" s="18"/>
      <c r="J67" s="19" t="str">
        <f>IF(A67="","",IF(COUNTIF($A$4:$A$203,A67)&gt;1,"ID duplicado",IF(AND(C67&lt;&gt;"",COUNTIF($C$4:$C$203,C67)&gt;1),"CPF/CNPJ duplicado","OK")))</f>
        <v/>
      </c>
    </row>
    <row r="68" spans="1:10" x14ac:dyDescent="0.3">
      <c r="A68" s="17"/>
      <c r="B68" s="15"/>
      <c r="C68" s="16"/>
      <c r="D68" s="18"/>
      <c r="E68" s="15"/>
      <c r="F68" s="15"/>
      <c r="G68" s="20"/>
      <c r="H68" s="17"/>
      <c r="I68" s="18"/>
      <c r="J68" s="19" t="str">
        <f>IF(A68="","",IF(COUNTIF($A$4:$A$203,A68)&gt;1,"ID duplicado",IF(AND(C68&lt;&gt;"",COUNTIF($C$4:$C$203,C68)&gt;1),"CPF/CNPJ duplicado","OK")))</f>
        <v/>
      </c>
    </row>
    <row r="69" spans="1:10" x14ac:dyDescent="0.3">
      <c r="A69" s="17"/>
      <c r="B69" s="15"/>
      <c r="C69" s="16"/>
      <c r="D69" s="18"/>
      <c r="E69" s="15"/>
      <c r="F69" s="15"/>
      <c r="G69" s="20"/>
      <c r="H69" s="17"/>
      <c r="I69" s="18"/>
      <c r="J69" s="19" t="str">
        <f>IF(A69="","",IF(COUNTIF($A$4:$A$203,A69)&gt;1,"ID duplicado",IF(AND(C69&lt;&gt;"",COUNTIF($C$4:$C$203,C69)&gt;1),"CPF/CNPJ duplicado","OK")))</f>
        <v/>
      </c>
    </row>
    <row r="70" spans="1:10" x14ac:dyDescent="0.3">
      <c r="A70" s="17"/>
      <c r="B70" s="15"/>
      <c r="C70" s="16"/>
      <c r="D70" s="18"/>
      <c r="E70" s="15"/>
      <c r="F70" s="15"/>
      <c r="G70" s="20"/>
      <c r="H70" s="17"/>
      <c r="I70" s="18"/>
      <c r="J70" s="19" t="str">
        <f>IF(A70="","",IF(COUNTIF($A$4:$A$203,A70)&gt;1,"ID duplicado",IF(AND(C70&lt;&gt;"",COUNTIF($C$4:$C$203,C70)&gt;1),"CPF/CNPJ duplicado","OK")))</f>
        <v/>
      </c>
    </row>
    <row r="71" spans="1:10" x14ac:dyDescent="0.3">
      <c r="A71" s="17"/>
      <c r="B71" s="15"/>
      <c r="C71" s="16"/>
      <c r="D71" s="18"/>
      <c r="E71" s="15"/>
      <c r="F71" s="15"/>
      <c r="G71" s="20"/>
      <c r="H71" s="17"/>
      <c r="I71" s="18"/>
      <c r="J71" s="19" t="str">
        <f>IF(A71="","",IF(COUNTIF($A$4:$A$203,A71)&gt;1,"ID duplicado",IF(AND(C71&lt;&gt;"",COUNTIF($C$4:$C$203,C71)&gt;1),"CPF/CNPJ duplicado","OK")))</f>
        <v/>
      </c>
    </row>
    <row r="72" spans="1:10" x14ac:dyDescent="0.3">
      <c r="A72" s="17"/>
      <c r="B72" s="15"/>
      <c r="C72" s="16"/>
      <c r="D72" s="18"/>
      <c r="E72" s="15"/>
      <c r="F72" s="15"/>
      <c r="G72" s="20"/>
      <c r="H72" s="17"/>
      <c r="I72" s="18"/>
      <c r="J72" s="19" t="str">
        <f>IF(A72="","",IF(COUNTIF($A$4:$A$203,A72)&gt;1,"ID duplicado",IF(AND(C72&lt;&gt;"",COUNTIF($C$4:$C$203,C72)&gt;1),"CPF/CNPJ duplicado","OK")))</f>
        <v/>
      </c>
    </row>
    <row r="73" spans="1:10" x14ac:dyDescent="0.3">
      <c r="A73" s="17"/>
      <c r="B73" s="15"/>
      <c r="C73" s="16"/>
      <c r="D73" s="18"/>
      <c r="E73" s="15"/>
      <c r="F73" s="15"/>
      <c r="G73" s="20"/>
      <c r="H73" s="17"/>
      <c r="I73" s="18"/>
      <c r="J73" s="19" t="str">
        <f>IF(A73="","",IF(COUNTIF($A$4:$A$203,A73)&gt;1,"ID duplicado",IF(AND(C73&lt;&gt;"",COUNTIF($C$4:$C$203,C73)&gt;1),"CPF/CNPJ duplicado","OK")))</f>
        <v/>
      </c>
    </row>
    <row r="74" spans="1:10" x14ac:dyDescent="0.3">
      <c r="A74" s="17"/>
      <c r="B74" s="15"/>
      <c r="C74" s="16"/>
      <c r="D74" s="18"/>
      <c r="E74" s="15"/>
      <c r="F74" s="15"/>
      <c r="G74" s="20"/>
      <c r="H74" s="17"/>
      <c r="I74" s="18"/>
      <c r="J74" s="19" t="str">
        <f>IF(A74="","",IF(COUNTIF($A$4:$A$203,A74)&gt;1,"ID duplicado",IF(AND(C74&lt;&gt;"",COUNTIF($C$4:$C$203,C74)&gt;1),"CPF/CNPJ duplicado","OK")))</f>
        <v/>
      </c>
    </row>
    <row r="75" spans="1:10" x14ac:dyDescent="0.3">
      <c r="A75" s="17"/>
      <c r="B75" s="15"/>
      <c r="C75" s="16"/>
      <c r="D75" s="18"/>
      <c r="E75" s="15"/>
      <c r="F75" s="15"/>
      <c r="G75" s="20"/>
      <c r="H75" s="17"/>
      <c r="I75" s="18"/>
      <c r="J75" s="19" t="str">
        <f>IF(A75="","",IF(COUNTIF($A$4:$A$203,A75)&gt;1,"ID duplicado",IF(AND(C75&lt;&gt;"",COUNTIF($C$4:$C$203,C75)&gt;1),"CPF/CNPJ duplicado","OK")))</f>
        <v/>
      </c>
    </row>
    <row r="76" spans="1:10" x14ac:dyDescent="0.3">
      <c r="A76" s="17"/>
      <c r="B76" s="15"/>
      <c r="C76" s="16"/>
      <c r="D76" s="18"/>
      <c r="E76" s="15"/>
      <c r="F76" s="15"/>
      <c r="G76" s="20"/>
      <c r="H76" s="17"/>
      <c r="I76" s="18"/>
      <c r="J76" s="19" t="str">
        <f>IF(A76="","",IF(COUNTIF($A$4:$A$203,A76)&gt;1,"ID duplicado",IF(AND(C76&lt;&gt;"",COUNTIF($C$4:$C$203,C76)&gt;1),"CPF/CNPJ duplicado","OK")))</f>
        <v/>
      </c>
    </row>
    <row r="77" spans="1:10" x14ac:dyDescent="0.3">
      <c r="A77" s="17"/>
      <c r="B77" s="15"/>
      <c r="C77" s="16"/>
      <c r="D77" s="18"/>
      <c r="E77" s="15"/>
      <c r="F77" s="15"/>
      <c r="G77" s="20"/>
      <c r="H77" s="17"/>
      <c r="I77" s="18"/>
      <c r="J77" s="19" t="str">
        <f>IF(A77="","",IF(COUNTIF($A$4:$A$203,A77)&gt;1,"ID duplicado",IF(AND(C77&lt;&gt;"",COUNTIF($C$4:$C$203,C77)&gt;1),"CPF/CNPJ duplicado","OK")))</f>
        <v/>
      </c>
    </row>
    <row r="78" spans="1:10" x14ac:dyDescent="0.3">
      <c r="A78" s="17"/>
      <c r="B78" s="15"/>
      <c r="C78" s="16"/>
      <c r="D78" s="18"/>
      <c r="E78" s="15"/>
      <c r="F78" s="15"/>
      <c r="G78" s="20"/>
      <c r="H78" s="17"/>
      <c r="I78" s="18"/>
      <c r="J78" s="19" t="str">
        <f>IF(A78="","",IF(COUNTIF($A$4:$A$203,A78)&gt;1,"ID duplicado",IF(AND(C78&lt;&gt;"",COUNTIF($C$4:$C$203,C78)&gt;1),"CPF/CNPJ duplicado","OK")))</f>
        <v/>
      </c>
    </row>
    <row r="79" spans="1:10" x14ac:dyDescent="0.3">
      <c r="A79" s="17"/>
      <c r="B79" s="15"/>
      <c r="C79" s="16"/>
      <c r="D79" s="18"/>
      <c r="E79" s="15"/>
      <c r="F79" s="15"/>
      <c r="G79" s="20"/>
      <c r="H79" s="17"/>
      <c r="I79" s="18"/>
      <c r="J79" s="19" t="str">
        <f>IF(A79="","",IF(COUNTIF($A$4:$A$203,A79)&gt;1,"ID duplicado",IF(AND(C79&lt;&gt;"",COUNTIF($C$4:$C$203,C79)&gt;1),"CPF/CNPJ duplicado","OK")))</f>
        <v/>
      </c>
    </row>
    <row r="80" spans="1:10" x14ac:dyDescent="0.3">
      <c r="A80" s="17"/>
      <c r="B80" s="15"/>
      <c r="C80" s="16"/>
      <c r="D80" s="18"/>
      <c r="E80" s="15"/>
      <c r="F80" s="15"/>
      <c r="G80" s="20"/>
      <c r="H80" s="17"/>
      <c r="I80" s="18"/>
      <c r="J80" s="19" t="str">
        <f>IF(A80="","",IF(COUNTIF($A$4:$A$203,A80)&gt;1,"ID duplicado",IF(AND(C80&lt;&gt;"",COUNTIF($C$4:$C$203,C80)&gt;1),"CPF/CNPJ duplicado","OK")))</f>
        <v/>
      </c>
    </row>
    <row r="81" spans="1:10" x14ac:dyDescent="0.3">
      <c r="A81" s="17"/>
      <c r="B81" s="15"/>
      <c r="C81" s="16"/>
      <c r="D81" s="18"/>
      <c r="E81" s="15"/>
      <c r="F81" s="15"/>
      <c r="G81" s="20"/>
      <c r="H81" s="17"/>
      <c r="I81" s="18"/>
      <c r="J81" s="19" t="str">
        <f>IF(A81="","",IF(COUNTIF($A$4:$A$203,A81)&gt;1,"ID duplicado",IF(AND(C81&lt;&gt;"",COUNTIF($C$4:$C$203,C81)&gt;1),"CPF/CNPJ duplicado","OK")))</f>
        <v/>
      </c>
    </row>
    <row r="82" spans="1:10" x14ac:dyDescent="0.3">
      <c r="A82" s="17"/>
      <c r="B82" s="15"/>
      <c r="C82" s="16"/>
      <c r="D82" s="18"/>
      <c r="E82" s="15"/>
      <c r="F82" s="15"/>
      <c r="G82" s="20"/>
      <c r="H82" s="17"/>
      <c r="I82" s="18"/>
      <c r="J82" s="19" t="str">
        <f>IF(A82="","",IF(COUNTIF($A$4:$A$203,A82)&gt;1,"ID duplicado",IF(AND(C82&lt;&gt;"",COUNTIF($C$4:$C$203,C82)&gt;1),"CPF/CNPJ duplicado","OK")))</f>
        <v/>
      </c>
    </row>
    <row r="83" spans="1:10" x14ac:dyDescent="0.3">
      <c r="A83" s="17"/>
      <c r="B83" s="15"/>
      <c r="C83" s="16"/>
      <c r="D83" s="18"/>
      <c r="E83" s="15"/>
      <c r="F83" s="15"/>
      <c r="G83" s="20"/>
      <c r="H83" s="17"/>
      <c r="I83" s="18"/>
      <c r="J83" s="19" t="str">
        <f>IF(A83="","",IF(COUNTIF($A$4:$A$203,A83)&gt;1,"ID duplicado",IF(AND(C83&lt;&gt;"",COUNTIF($C$4:$C$203,C83)&gt;1),"CPF/CNPJ duplicado","OK")))</f>
        <v/>
      </c>
    </row>
    <row r="84" spans="1:10" x14ac:dyDescent="0.3">
      <c r="A84" s="17"/>
      <c r="B84" s="15"/>
      <c r="C84" s="16"/>
      <c r="D84" s="18"/>
      <c r="E84" s="15"/>
      <c r="F84" s="15"/>
      <c r="G84" s="20"/>
      <c r="H84" s="17"/>
      <c r="I84" s="18"/>
      <c r="J84" s="19" t="str">
        <f>IF(A84="","",IF(COUNTIF($A$4:$A$203,A84)&gt;1,"ID duplicado",IF(AND(C84&lt;&gt;"",COUNTIF($C$4:$C$203,C84)&gt;1),"CPF/CNPJ duplicado","OK")))</f>
        <v/>
      </c>
    </row>
    <row r="85" spans="1:10" x14ac:dyDescent="0.3">
      <c r="A85" s="17"/>
      <c r="B85" s="15"/>
      <c r="C85" s="16"/>
      <c r="D85" s="18"/>
      <c r="E85" s="15"/>
      <c r="F85" s="15"/>
      <c r="G85" s="20"/>
      <c r="H85" s="17"/>
      <c r="I85" s="18"/>
      <c r="J85" s="19" t="str">
        <f>IF(A85="","",IF(COUNTIF($A$4:$A$203,A85)&gt;1,"ID duplicado",IF(AND(C85&lt;&gt;"",COUNTIF($C$4:$C$203,C85)&gt;1),"CPF/CNPJ duplicado","OK")))</f>
        <v/>
      </c>
    </row>
    <row r="86" spans="1:10" x14ac:dyDescent="0.3">
      <c r="A86" s="17"/>
      <c r="B86" s="15"/>
      <c r="C86" s="16"/>
      <c r="D86" s="18"/>
      <c r="E86" s="15"/>
      <c r="F86" s="15"/>
      <c r="G86" s="20"/>
      <c r="H86" s="17"/>
      <c r="I86" s="18"/>
      <c r="J86" s="19" t="str">
        <f>IF(A86="","",IF(COUNTIF($A$4:$A$203,A86)&gt;1,"ID duplicado",IF(AND(C86&lt;&gt;"",COUNTIF($C$4:$C$203,C86)&gt;1),"CPF/CNPJ duplicado","OK")))</f>
        <v/>
      </c>
    </row>
    <row r="87" spans="1:10" x14ac:dyDescent="0.3">
      <c r="A87" s="17"/>
      <c r="B87" s="15"/>
      <c r="C87" s="16"/>
      <c r="D87" s="18"/>
      <c r="E87" s="15"/>
      <c r="F87" s="15"/>
      <c r="G87" s="20"/>
      <c r="H87" s="17"/>
      <c r="I87" s="18"/>
      <c r="J87" s="19" t="str">
        <f>IF(A87="","",IF(COUNTIF($A$4:$A$203,A87)&gt;1,"ID duplicado",IF(AND(C87&lt;&gt;"",COUNTIF($C$4:$C$203,C87)&gt;1),"CPF/CNPJ duplicado","OK")))</f>
        <v/>
      </c>
    </row>
    <row r="88" spans="1:10" x14ac:dyDescent="0.3">
      <c r="A88" s="17"/>
      <c r="B88" s="15"/>
      <c r="C88" s="16"/>
      <c r="D88" s="18"/>
      <c r="E88" s="15"/>
      <c r="F88" s="15"/>
      <c r="G88" s="20"/>
      <c r="H88" s="17"/>
      <c r="I88" s="18"/>
      <c r="J88" s="19" t="str">
        <f>IF(A88="","",IF(COUNTIF($A$4:$A$203,A88)&gt;1,"ID duplicado",IF(AND(C88&lt;&gt;"",COUNTIF($C$4:$C$203,C88)&gt;1),"CPF/CNPJ duplicado","OK")))</f>
        <v/>
      </c>
    </row>
    <row r="89" spans="1:10" x14ac:dyDescent="0.3">
      <c r="A89" s="17"/>
      <c r="B89" s="15"/>
      <c r="C89" s="16"/>
      <c r="D89" s="18"/>
      <c r="E89" s="15"/>
      <c r="F89" s="15"/>
      <c r="G89" s="20"/>
      <c r="H89" s="17"/>
      <c r="I89" s="18"/>
      <c r="J89" s="19" t="str">
        <f>IF(A89="","",IF(COUNTIF($A$4:$A$203,A89)&gt;1,"ID duplicado",IF(AND(C89&lt;&gt;"",COUNTIF($C$4:$C$203,C89)&gt;1),"CPF/CNPJ duplicado","OK")))</f>
        <v/>
      </c>
    </row>
    <row r="90" spans="1:10" x14ac:dyDescent="0.3">
      <c r="A90" s="17"/>
      <c r="B90" s="15"/>
      <c r="C90" s="16"/>
      <c r="D90" s="18"/>
      <c r="E90" s="15"/>
      <c r="F90" s="15"/>
      <c r="G90" s="20"/>
      <c r="H90" s="17"/>
      <c r="I90" s="18"/>
      <c r="J90" s="19" t="str">
        <f>IF(A90="","",IF(COUNTIF($A$4:$A$203,A90)&gt;1,"ID duplicado",IF(AND(C90&lt;&gt;"",COUNTIF($C$4:$C$203,C90)&gt;1),"CPF/CNPJ duplicado","OK")))</f>
        <v/>
      </c>
    </row>
    <row r="91" spans="1:10" x14ac:dyDescent="0.3">
      <c r="A91" s="17"/>
      <c r="B91" s="15"/>
      <c r="C91" s="16"/>
      <c r="D91" s="18"/>
      <c r="E91" s="15"/>
      <c r="F91" s="15"/>
      <c r="G91" s="20"/>
      <c r="H91" s="17"/>
      <c r="I91" s="18"/>
      <c r="J91" s="19" t="str">
        <f>IF(A91="","",IF(COUNTIF($A$4:$A$203,A91)&gt;1,"ID duplicado",IF(AND(C91&lt;&gt;"",COUNTIF($C$4:$C$203,C91)&gt;1),"CPF/CNPJ duplicado","OK")))</f>
        <v/>
      </c>
    </row>
    <row r="92" spans="1:10" x14ac:dyDescent="0.3">
      <c r="A92" s="17"/>
      <c r="B92" s="15"/>
      <c r="C92" s="16"/>
      <c r="D92" s="18"/>
      <c r="E92" s="15"/>
      <c r="F92" s="15"/>
      <c r="G92" s="20"/>
      <c r="H92" s="17"/>
      <c r="I92" s="18"/>
      <c r="J92" s="19" t="str">
        <f>IF(A92="","",IF(COUNTIF($A$4:$A$203,A92)&gt;1,"ID duplicado",IF(AND(C92&lt;&gt;"",COUNTIF($C$4:$C$203,C92)&gt;1),"CPF/CNPJ duplicado","OK")))</f>
        <v/>
      </c>
    </row>
    <row r="93" spans="1:10" x14ac:dyDescent="0.3">
      <c r="A93" s="17"/>
      <c r="B93" s="15"/>
      <c r="C93" s="16"/>
      <c r="D93" s="18"/>
      <c r="E93" s="15"/>
      <c r="F93" s="15"/>
      <c r="G93" s="20"/>
      <c r="H93" s="17"/>
      <c r="I93" s="18"/>
      <c r="J93" s="19" t="str">
        <f>IF(A93="","",IF(COUNTIF($A$4:$A$203,A93)&gt;1,"ID duplicado",IF(AND(C93&lt;&gt;"",COUNTIF($C$4:$C$203,C93)&gt;1),"CPF/CNPJ duplicado","OK")))</f>
        <v/>
      </c>
    </row>
    <row r="94" spans="1:10" x14ac:dyDescent="0.3">
      <c r="A94" s="17"/>
      <c r="B94" s="15"/>
      <c r="C94" s="16"/>
      <c r="D94" s="18"/>
      <c r="E94" s="15"/>
      <c r="F94" s="15"/>
      <c r="G94" s="20"/>
      <c r="H94" s="17"/>
      <c r="I94" s="18"/>
      <c r="J94" s="19" t="str">
        <f>IF(A94="","",IF(COUNTIF($A$4:$A$203,A94)&gt;1,"ID duplicado",IF(AND(C94&lt;&gt;"",COUNTIF($C$4:$C$203,C94)&gt;1),"CPF/CNPJ duplicado","OK")))</f>
        <v/>
      </c>
    </row>
    <row r="95" spans="1:10" x14ac:dyDescent="0.3">
      <c r="A95" s="17"/>
      <c r="B95" s="15"/>
      <c r="C95" s="16"/>
      <c r="D95" s="18"/>
      <c r="E95" s="15"/>
      <c r="F95" s="15"/>
      <c r="G95" s="20"/>
      <c r="H95" s="17"/>
      <c r="I95" s="18"/>
      <c r="J95" s="19" t="str">
        <f>IF(A95="","",IF(COUNTIF($A$4:$A$203,A95)&gt;1,"ID duplicado",IF(AND(C95&lt;&gt;"",COUNTIF($C$4:$C$203,C95)&gt;1),"CPF/CNPJ duplicado","OK")))</f>
        <v/>
      </c>
    </row>
    <row r="96" spans="1:10" x14ac:dyDescent="0.3">
      <c r="A96" s="17"/>
      <c r="B96" s="15"/>
      <c r="C96" s="16"/>
      <c r="D96" s="18"/>
      <c r="E96" s="15"/>
      <c r="F96" s="15"/>
      <c r="G96" s="20"/>
      <c r="H96" s="17"/>
      <c r="I96" s="18"/>
      <c r="J96" s="19" t="str">
        <f>IF(A96="","",IF(COUNTIF($A$4:$A$203,A96)&gt;1,"ID duplicado",IF(AND(C96&lt;&gt;"",COUNTIF($C$4:$C$203,C96)&gt;1),"CPF/CNPJ duplicado","OK")))</f>
        <v/>
      </c>
    </row>
    <row r="97" spans="1:10" x14ac:dyDescent="0.3">
      <c r="A97" s="17"/>
      <c r="B97" s="15"/>
      <c r="C97" s="16"/>
      <c r="D97" s="18"/>
      <c r="E97" s="15"/>
      <c r="F97" s="15"/>
      <c r="G97" s="20"/>
      <c r="H97" s="17"/>
      <c r="I97" s="18"/>
      <c r="J97" s="19" t="str">
        <f>IF(A97="","",IF(COUNTIF($A$4:$A$203,A97)&gt;1,"ID duplicado",IF(AND(C97&lt;&gt;"",COUNTIF($C$4:$C$203,C97)&gt;1),"CPF/CNPJ duplicado","OK")))</f>
        <v/>
      </c>
    </row>
    <row r="98" spans="1:10" x14ac:dyDescent="0.3">
      <c r="A98" s="17"/>
      <c r="B98" s="15"/>
      <c r="C98" s="16"/>
      <c r="D98" s="18"/>
      <c r="E98" s="15"/>
      <c r="F98" s="15"/>
      <c r="G98" s="20"/>
      <c r="H98" s="17"/>
      <c r="I98" s="18"/>
      <c r="J98" s="19" t="str">
        <f>IF(A98="","",IF(COUNTIF($A$4:$A$203,A98)&gt;1,"ID duplicado",IF(AND(C98&lt;&gt;"",COUNTIF($C$4:$C$203,C98)&gt;1),"CPF/CNPJ duplicado","OK")))</f>
        <v/>
      </c>
    </row>
    <row r="99" spans="1:10" x14ac:dyDescent="0.3">
      <c r="A99" s="17"/>
      <c r="B99" s="15"/>
      <c r="C99" s="16"/>
      <c r="D99" s="18"/>
      <c r="E99" s="15"/>
      <c r="F99" s="15"/>
      <c r="G99" s="20"/>
      <c r="H99" s="17"/>
      <c r="I99" s="18"/>
      <c r="J99" s="19" t="str">
        <f>IF(A99="","",IF(COUNTIF($A$4:$A$203,A99)&gt;1,"ID duplicado",IF(AND(C99&lt;&gt;"",COUNTIF($C$4:$C$203,C99)&gt;1),"CPF/CNPJ duplicado","OK")))</f>
        <v/>
      </c>
    </row>
    <row r="100" spans="1:10" x14ac:dyDescent="0.3">
      <c r="A100" s="17"/>
      <c r="B100" s="15"/>
      <c r="C100" s="16"/>
      <c r="D100" s="18"/>
      <c r="E100" s="15"/>
      <c r="F100" s="15"/>
      <c r="G100" s="20"/>
      <c r="H100" s="17"/>
      <c r="I100" s="18"/>
      <c r="J100" s="19" t="str">
        <f>IF(A100="","",IF(COUNTIF($A$4:$A$203,A100)&gt;1,"ID duplicado",IF(AND(C100&lt;&gt;"",COUNTIF($C$4:$C$203,C100)&gt;1),"CPF/CNPJ duplicado","OK")))</f>
        <v/>
      </c>
    </row>
    <row r="101" spans="1:10" x14ac:dyDescent="0.3">
      <c r="A101" s="17"/>
      <c r="B101" s="15"/>
      <c r="C101" s="16"/>
      <c r="D101" s="18"/>
      <c r="E101" s="15"/>
      <c r="F101" s="15"/>
      <c r="G101" s="20"/>
      <c r="H101" s="17"/>
      <c r="I101" s="18"/>
      <c r="J101" s="19" t="str">
        <f>IF(A101="","",IF(COUNTIF($A$4:$A$203,A101)&gt;1,"ID duplicado",IF(AND(C101&lt;&gt;"",COUNTIF($C$4:$C$203,C101)&gt;1),"CPF/CNPJ duplicado","OK")))</f>
        <v/>
      </c>
    </row>
    <row r="102" spans="1:10" x14ac:dyDescent="0.3">
      <c r="A102" s="17"/>
      <c r="B102" s="15"/>
      <c r="C102" s="16"/>
      <c r="D102" s="18"/>
      <c r="E102" s="15"/>
      <c r="F102" s="15"/>
      <c r="G102" s="20"/>
      <c r="H102" s="17"/>
      <c r="I102" s="18"/>
      <c r="J102" s="19" t="str">
        <f>IF(A102="","",IF(COUNTIF($A$4:$A$203,A102)&gt;1,"ID duplicado",IF(AND(C102&lt;&gt;"",COUNTIF($C$4:$C$203,C102)&gt;1),"CPF/CNPJ duplicado","OK")))</f>
        <v/>
      </c>
    </row>
    <row r="103" spans="1:10" x14ac:dyDescent="0.3">
      <c r="A103" s="17"/>
      <c r="B103" s="15"/>
      <c r="C103" s="16"/>
      <c r="D103" s="18"/>
      <c r="E103" s="15"/>
      <c r="F103" s="15"/>
      <c r="G103" s="20"/>
      <c r="H103" s="17"/>
      <c r="I103" s="18"/>
      <c r="J103" s="19" t="str">
        <f>IF(A103="","",IF(COUNTIF($A$4:$A$203,A103)&gt;1,"ID duplicado",IF(AND(C103&lt;&gt;"",COUNTIF($C$4:$C$203,C103)&gt;1),"CPF/CNPJ duplicado","OK")))</f>
        <v/>
      </c>
    </row>
    <row r="104" spans="1:10" x14ac:dyDescent="0.3">
      <c r="A104" s="17"/>
      <c r="B104" s="15"/>
      <c r="C104" s="16"/>
      <c r="D104" s="18"/>
      <c r="E104" s="15"/>
      <c r="F104" s="15"/>
      <c r="G104" s="20"/>
      <c r="H104" s="17"/>
      <c r="I104" s="18"/>
      <c r="J104" s="19" t="str">
        <f>IF(A104="","",IF(COUNTIF($A$4:$A$203,A104)&gt;1,"ID duplicado",IF(AND(C104&lt;&gt;"",COUNTIF($C$4:$C$203,C104)&gt;1),"CPF/CNPJ duplicado","OK")))</f>
        <v/>
      </c>
    </row>
    <row r="105" spans="1:10" x14ac:dyDescent="0.3">
      <c r="A105" s="17"/>
      <c r="B105" s="15"/>
      <c r="C105" s="16"/>
      <c r="D105" s="18"/>
      <c r="E105" s="15"/>
      <c r="F105" s="15"/>
      <c r="G105" s="20"/>
      <c r="H105" s="17"/>
      <c r="I105" s="18"/>
      <c r="J105" s="19" t="str">
        <f>IF(A105="","",IF(COUNTIF($A$4:$A$203,A105)&gt;1,"ID duplicado",IF(AND(C105&lt;&gt;"",COUNTIF($C$4:$C$203,C105)&gt;1),"CPF/CNPJ duplicado","OK")))</f>
        <v/>
      </c>
    </row>
    <row r="106" spans="1:10" x14ac:dyDescent="0.3">
      <c r="A106" s="17"/>
      <c r="B106" s="15"/>
      <c r="C106" s="16"/>
      <c r="D106" s="18"/>
      <c r="E106" s="15"/>
      <c r="F106" s="15"/>
      <c r="G106" s="20"/>
      <c r="H106" s="17"/>
      <c r="I106" s="18"/>
      <c r="J106" s="19" t="str">
        <f>IF(A106="","",IF(COUNTIF($A$4:$A$203,A106)&gt;1,"ID duplicado",IF(AND(C106&lt;&gt;"",COUNTIF($C$4:$C$203,C106)&gt;1),"CPF/CNPJ duplicado","OK")))</f>
        <v/>
      </c>
    </row>
    <row r="107" spans="1:10" x14ac:dyDescent="0.3">
      <c r="A107" s="17"/>
      <c r="B107" s="15"/>
      <c r="C107" s="16"/>
      <c r="D107" s="18"/>
      <c r="E107" s="15"/>
      <c r="F107" s="15"/>
      <c r="G107" s="20"/>
      <c r="H107" s="17"/>
      <c r="I107" s="18"/>
      <c r="J107" s="19" t="str">
        <f>IF(A107="","",IF(COUNTIF($A$4:$A$203,A107)&gt;1,"ID duplicado",IF(AND(C107&lt;&gt;"",COUNTIF($C$4:$C$203,C107)&gt;1),"CPF/CNPJ duplicado","OK")))</f>
        <v/>
      </c>
    </row>
    <row r="108" spans="1:10" x14ac:dyDescent="0.3">
      <c r="A108" s="17"/>
      <c r="B108" s="15"/>
      <c r="C108" s="16"/>
      <c r="D108" s="18"/>
      <c r="E108" s="15"/>
      <c r="F108" s="15"/>
      <c r="G108" s="20"/>
      <c r="H108" s="17"/>
      <c r="I108" s="18"/>
      <c r="J108" s="19" t="str">
        <f>IF(A108="","",IF(COUNTIF($A$4:$A$203,A108)&gt;1,"ID duplicado",IF(AND(C108&lt;&gt;"",COUNTIF($C$4:$C$203,C108)&gt;1),"CPF/CNPJ duplicado","OK")))</f>
        <v/>
      </c>
    </row>
    <row r="109" spans="1:10" x14ac:dyDescent="0.3">
      <c r="A109" s="17"/>
      <c r="B109" s="15"/>
      <c r="C109" s="16"/>
      <c r="D109" s="18"/>
      <c r="E109" s="15"/>
      <c r="F109" s="15"/>
      <c r="G109" s="20"/>
      <c r="H109" s="17"/>
      <c r="I109" s="18"/>
      <c r="J109" s="19" t="str">
        <f>IF(A109="","",IF(COUNTIF($A$4:$A$203,A109)&gt;1,"ID duplicado",IF(AND(C109&lt;&gt;"",COUNTIF($C$4:$C$203,C109)&gt;1),"CPF/CNPJ duplicado","OK")))</f>
        <v/>
      </c>
    </row>
    <row r="110" spans="1:10" x14ac:dyDescent="0.3">
      <c r="A110" s="17"/>
      <c r="B110" s="15"/>
      <c r="C110" s="16"/>
      <c r="D110" s="18"/>
      <c r="E110" s="15"/>
      <c r="F110" s="15"/>
      <c r="G110" s="20"/>
      <c r="H110" s="17"/>
      <c r="I110" s="18"/>
      <c r="J110" s="19" t="str">
        <f>IF(A110="","",IF(COUNTIF($A$4:$A$203,A110)&gt;1,"ID duplicado",IF(AND(C110&lt;&gt;"",COUNTIF($C$4:$C$203,C110)&gt;1),"CPF/CNPJ duplicado","OK")))</f>
        <v/>
      </c>
    </row>
    <row r="111" spans="1:10" x14ac:dyDescent="0.3">
      <c r="A111" s="17"/>
      <c r="B111" s="15"/>
      <c r="C111" s="16"/>
      <c r="D111" s="18"/>
      <c r="E111" s="15"/>
      <c r="F111" s="15"/>
      <c r="G111" s="20"/>
      <c r="H111" s="17"/>
      <c r="I111" s="18"/>
      <c r="J111" s="19" t="str">
        <f>IF(A111="","",IF(COUNTIF($A$4:$A$203,A111)&gt;1,"ID duplicado",IF(AND(C111&lt;&gt;"",COUNTIF($C$4:$C$203,C111)&gt;1),"CPF/CNPJ duplicado","OK")))</f>
        <v/>
      </c>
    </row>
    <row r="112" spans="1:10" x14ac:dyDescent="0.3">
      <c r="A112" s="17"/>
      <c r="B112" s="15"/>
      <c r="C112" s="16"/>
      <c r="D112" s="18"/>
      <c r="E112" s="15"/>
      <c r="F112" s="15"/>
      <c r="G112" s="20"/>
      <c r="H112" s="17"/>
      <c r="I112" s="18"/>
      <c r="J112" s="19" t="str">
        <f>IF(A112="","",IF(COUNTIF($A$4:$A$203,A112)&gt;1,"ID duplicado",IF(AND(C112&lt;&gt;"",COUNTIF($C$4:$C$203,C112)&gt;1),"CPF/CNPJ duplicado","OK")))</f>
        <v/>
      </c>
    </row>
    <row r="113" spans="1:10" x14ac:dyDescent="0.3">
      <c r="A113" s="17"/>
      <c r="B113" s="15"/>
      <c r="C113" s="16"/>
      <c r="D113" s="18"/>
      <c r="E113" s="15"/>
      <c r="F113" s="15"/>
      <c r="G113" s="20"/>
      <c r="H113" s="17"/>
      <c r="I113" s="18"/>
      <c r="J113" s="19" t="str">
        <f>IF(A113="","",IF(COUNTIF($A$4:$A$203,A113)&gt;1,"ID duplicado",IF(AND(C113&lt;&gt;"",COUNTIF($C$4:$C$203,C113)&gt;1),"CPF/CNPJ duplicado","OK")))</f>
        <v/>
      </c>
    </row>
    <row r="114" spans="1:10" x14ac:dyDescent="0.3">
      <c r="A114" s="17"/>
      <c r="B114" s="15"/>
      <c r="C114" s="16"/>
      <c r="D114" s="18"/>
      <c r="E114" s="15"/>
      <c r="F114" s="15"/>
      <c r="G114" s="20"/>
      <c r="H114" s="17"/>
      <c r="I114" s="18"/>
      <c r="J114" s="19" t="str">
        <f>IF(A114="","",IF(COUNTIF($A$4:$A$203,A114)&gt;1,"ID duplicado",IF(AND(C114&lt;&gt;"",COUNTIF($C$4:$C$203,C114)&gt;1),"CPF/CNPJ duplicado","OK")))</f>
        <v/>
      </c>
    </row>
    <row r="115" spans="1:10" x14ac:dyDescent="0.3">
      <c r="A115" s="17"/>
      <c r="B115" s="15"/>
      <c r="C115" s="16"/>
      <c r="D115" s="18"/>
      <c r="E115" s="15"/>
      <c r="F115" s="15"/>
      <c r="G115" s="20"/>
      <c r="H115" s="17"/>
      <c r="I115" s="18"/>
      <c r="J115" s="19" t="str">
        <f>IF(A115="","",IF(COUNTIF($A$4:$A$203,A115)&gt;1,"ID duplicado",IF(AND(C115&lt;&gt;"",COUNTIF($C$4:$C$203,C115)&gt;1),"CPF/CNPJ duplicado","OK")))</f>
        <v/>
      </c>
    </row>
    <row r="116" spans="1:10" x14ac:dyDescent="0.3">
      <c r="A116" s="17"/>
      <c r="B116" s="15"/>
      <c r="C116" s="16"/>
      <c r="D116" s="18"/>
      <c r="E116" s="15"/>
      <c r="F116" s="15"/>
      <c r="G116" s="20"/>
      <c r="H116" s="17"/>
      <c r="I116" s="18"/>
      <c r="J116" s="19" t="str">
        <f>IF(A116="","",IF(COUNTIF($A$4:$A$203,A116)&gt;1,"ID duplicado",IF(AND(C116&lt;&gt;"",COUNTIF($C$4:$C$203,C116)&gt;1),"CPF/CNPJ duplicado","OK")))</f>
        <v/>
      </c>
    </row>
    <row r="117" spans="1:10" x14ac:dyDescent="0.3">
      <c r="A117" s="17"/>
      <c r="B117" s="15"/>
      <c r="C117" s="16"/>
      <c r="D117" s="18"/>
      <c r="E117" s="15"/>
      <c r="F117" s="15"/>
      <c r="G117" s="20"/>
      <c r="H117" s="17"/>
      <c r="I117" s="18"/>
      <c r="J117" s="19" t="str">
        <f>IF(A117="","",IF(COUNTIF($A$4:$A$203,A117)&gt;1,"ID duplicado",IF(AND(C117&lt;&gt;"",COUNTIF($C$4:$C$203,C117)&gt;1),"CPF/CNPJ duplicado","OK")))</f>
        <v/>
      </c>
    </row>
    <row r="118" spans="1:10" x14ac:dyDescent="0.3">
      <c r="A118" s="17"/>
      <c r="B118" s="15"/>
      <c r="C118" s="16"/>
      <c r="D118" s="18"/>
      <c r="E118" s="15"/>
      <c r="F118" s="15"/>
      <c r="G118" s="20"/>
      <c r="H118" s="17"/>
      <c r="I118" s="18"/>
      <c r="J118" s="19" t="str">
        <f>IF(A118="","",IF(COUNTIF($A$4:$A$203,A118)&gt;1,"ID duplicado",IF(AND(C118&lt;&gt;"",COUNTIF($C$4:$C$203,C118)&gt;1),"CPF/CNPJ duplicado","OK")))</f>
        <v/>
      </c>
    </row>
    <row r="119" spans="1:10" x14ac:dyDescent="0.3">
      <c r="A119" s="17"/>
      <c r="B119" s="15"/>
      <c r="C119" s="16"/>
      <c r="D119" s="18"/>
      <c r="E119" s="15"/>
      <c r="F119" s="15"/>
      <c r="G119" s="20"/>
      <c r="H119" s="17"/>
      <c r="I119" s="18"/>
      <c r="J119" s="19" t="str">
        <f>IF(A119="","",IF(COUNTIF($A$4:$A$203,A119)&gt;1,"ID duplicado",IF(AND(C119&lt;&gt;"",COUNTIF($C$4:$C$203,C119)&gt;1),"CPF/CNPJ duplicado","OK")))</f>
        <v/>
      </c>
    </row>
    <row r="120" spans="1:10" x14ac:dyDescent="0.3">
      <c r="A120" s="17"/>
      <c r="B120" s="15"/>
      <c r="C120" s="16"/>
      <c r="D120" s="18"/>
      <c r="E120" s="15"/>
      <c r="F120" s="15"/>
      <c r="G120" s="20"/>
      <c r="H120" s="17"/>
      <c r="I120" s="18"/>
      <c r="J120" s="19" t="str">
        <f>IF(A120="","",IF(COUNTIF($A$4:$A$203,A120)&gt;1,"ID duplicado",IF(AND(C120&lt;&gt;"",COUNTIF($C$4:$C$203,C120)&gt;1),"CPF/CNPJ duplicado","OK")))</f>
        <v/>
      </c>
    </row>
    <row r="121" spans="1:10" x14ac:dyDescent="0.3">
      <c r="A121" s="17"/>
      <c r="B121" s="15"/>
      <c r="C121" s="16"/>
      <c r="D121" s="18"/>
      <c r="E121" s="15"/>
      <c r="F121" s="15"/>
      <c r="G121" s="20"/>
      <c r="H121" s="17"/>
      <c r="I121" s="18"/>
      <c r="J121" s="19" t="str">
        <f>IF(A121="","",IF(COUNTIF($A$4:$A$203,A121)&gt;1,"ID duplicado",IF(AND(C121&lt;&gt;"",COUNTIF($C$4:$C$203,C121)&gt;1),"CPF/CNPJ duplicado","OK")))</f>
        <v/>
      </c>
    </row>
    <row r="122" spans="1:10" x14ac:dyDescent="0.3">
      <c r="A122" s="17"/>
      <c r="B122" s="15"/>
      <c r="C122" s="16"/>
      <c r="D122" s="18"/>
      <c r="E122" s="15"/>
      <c r="F122" s="15"/>
      <c r="G122" s="20"/>
      <c r="H122" s="17"/>
      <c r="I122" s="18"/>
      <c r="J122" s="19" t="str">
        <f>IF(A122="","",IF(COUNTIF($A$4:$A$203,A122)&gt;1,"ID duplicado",IF(AND(C122&lt;&gt;"",COUNTIF($C$4:$C$203,C122)&gt;1),"CPF/CNPJ duplicado","OK")))</f>
        <v/>
      </c>
    </row>
    <row r="123" spans="1:10" x14ac:dyDescent="0.3">
      <c r="A123" s="17"/>
      <c r="B123" s="15"/>
      <c r="C123" s="16"/>
      <c r="D123" s="18"/>
      <c r="E123" s="15"/>
      <c r="F123" s="15"/>
      <c r="G123" s="20"/>
      <c r="H123" s="17"/>
      <c r="I123" s="18"/>
      <c r="J123" s="19" t="str">
        <f>IF(A123="","",IF(COUNTIF($A$4:$A$203,A123)&gt;1,"ID duplicado",IF(AND(C123&lt;&gt;"",COUNTIF($C$4:$C$203,C123)&gt;1),"CPF/CNPJ duplicado","OK")))</f>
        <v/>
      </c>
    </row>
    <row r="124" spans="1:10" x14ac:dyDescent="0.3">
      <c r="A124" s="17"/>
      <c r="B124" s="15"/>
      <c r="C124" s="16"/>
      <c r="D124" s="18"/>
      <c r="E124" s="15"/>
      <c r="F124" s="15"/>
      <c r="G124" s="20"/>
      <c r="H124" s="17"/>
      <c r="I124" s="18"/>
      <c r="J124" s="19" t="str">
        <f>IF(A124="","",IF(COUNTIF($A$4:$A$203,A124)&gt;1,"ID duplicado",IF(AND(C124&lt;&gt;"",COUNTIF($C$4:$C$203,C124)&gt;1),"CPF/CNPJ duplicado","OK")))</f>
        <v/>
      </c>
    </row>
    <row r="125" spans="1:10" x14ac:dyDescent="0.3">
      <c r="A125" s="17"/>
      <c r="B125" s="15"/>
      <c r="C125" s="16"/>
      <c r="D125" s="18"/>
      <c r="E125" s="15"/>
      <c r="F125" s="15"/>
      <c r="G125" s="20"/>
      <c r="H125" s="17"/>
      <c r="I125" s="18"/>
      <c r="J125" s="19" t="str">
        <f>IF(A125="","",IF(COUNTIF($A$4:$A$203,A125)&gt;1,"ID duplicado",IF(AND(C125&lt;&gt;"",COUNTIF($C$4:$C$203,C125)&gt;1),"CPF/CNPJ duplicado","OK")))</f>
        <v/>
      </c>
    </row>
    <row r="126" spans="1:10" x14ac:dyDescent="0.3">
      <c r="A126" s="17"/>
      <c r="B126" s="15"/>
      <c r="C126" s="16"/>
      <c r="D126" s="18"/>
      <c r="E126" s="15"/>
      <c r="F126" s="15"/>
      <c r="G126" s="20"/>
      <c r="H126" s="17"/>
      <c r="I126" s="18"/>
      <c r="J126" s="19" t="str">
        <f>IF(A126="","",IF(COUNTIF($A$4:$A$203,A126)&gt;1,"ID duplicado",IF(AND(C126&lt;&gt;"",COUNTIF($C$4:$C$203,C126)&gt;1),"CPF/CNPJ duplicado","OK")))</f>
        <v/>
      </c>
    </row>
    <row r="127" spans="1:10" x14ac:dyDescent="0.3">
      <c r="A127" s="17"/>
      <c r="B127" s="15"/>
      <c r="C127" s="16"/>
      <c r="D127" s="18"/>
      <c r="E127" s="15"/>
      <c r="F127" s="15"/>
      <c r="G127" s="20"/>
      <c r="H127" s="17"/>
      <c r="I127" s="18"/>
      <c r="J127" s="19" t="str">
        <f>IF(A127="","",IF(COUNTIF($A$4:$A$203,A127)&gt;1,"ID duplicado",IF(AND(C127&lt;&gt;"",COUNTIF($C$4:$C$203,C127)&gt;1),"CPF/CNPJ duplicado","OK")))</f>
        <v/>
      </c>
    </row>
    <row r="128" spans="1:10" x14ac:dyDescent="0.3">
      <c r="A128" s="17"/>
      <c r="B128" s="15"/>
      <c r="C128" s="16"/>
      <c r="D128" s="18"/>
      <c r="E128" s="15"/>
      <c r="F128" s="15"/>
      <c r="G128" s="20"/>
      <c r="H128" s="17"/>
      <c r="I128" s="18"/>
      <c r="J128" s="19" t="str">
        <f>IF(A128="","",IF(COUNTIF($A$4:$A$203,A128)&gt;1,"ID duplicado",IF(AND(C128&lt;&gt;"",COUNTIF($C$4:$C$203,C128)&gt;1),"CPF/CNPJ duplicado","OK")))</f>
        <v/>
      </c>
    </row>
    <row r="129" spans="1:10" x14ac:dyDescent="0.3">
      <c r="A129" s="17"/>
      <c r="B129" s="15"/>
      <c r="C129" s="16"/>
      <c r="D129" s="18"/>
      <c r="E129" s="15"/>
      <c r="F129" s="15"/>
      <c r="G129" s="20"/>
      <c r="H129" s="17"/>
      <c r="I129" s="18"/>
      <c r="J129" s="19" t="str">
        <f>IF(A129="","",IF(COUNTIF($A$4:$A$203,A129)&gt;1,"ID duplicado",IF(AND(C129&lt;&gt;"",COUNTIF($C$4:$C$203,C129)&gt;1),"CPF/CNPJ duplicado","OK")))</f>
        <v/>
      </c>
    </row>
    <row r="130" spans="1:10" x14ac:dyDescent="0.3">
      <c r="A130" s="17"/>
      <c r="B130" s="15"/>
      <c r="C130" s="16"/>
      <c r="D130" s="18"/>
      <c r="E130" s="15"/>
      <c r="F130" s="15"/>
      <c r="G130" s="20"/>
      <c r="H130" s="17"/>
      <c r="I130" s="18"/>
      <c r="J130" s="19" t="str">
        <f>IF(A130="","",IF(COUNTIF($A$4:$A$203,A130)&gt;1,"ID duplicado",IF(AND(C130&lt;&gt;"",COUNTIF($C$4:$C$203,C130)&gt;1),"CPF/CNPJ duplicado","OK")))</f>
        <v/>
      </c>
    </row>
    <row r="131" spans="1:10" x14ac:dyDescent="0.3">
      <c r="A131" s="17"/>
      <c r="B131" s="15"/>
      <c r="C131" s="16"/>
      <c r="D131" s="18"/>
      <c r="E131" s="15"/>
      <c r="F131" s="15"/>
      <c r="G131" s="20"/>
      <c r="H131" s="17"/>
      <c r="I131" s="18"/>
      <c r="J131" s="19" t="str">
        <f>IF(A131="","",IF(COUNTIF($A$4:$A$203,A131)&gt;1,"ID duplicado",IF(AND(C131&lt;&gt;"",COUNTIF($C$4:$C$203,C131)&gt;1),"CPF/CNPJ duplicado","OK")))</f>
        <v/>
      </c>
    </row>
    <row r="132" spans="1:10" x14ac:dyDescent="0.3">
      <c r="A132" s="17"/>
      <c r="B132" s="15"/>
      <c r="C132" s="16"/>
      <c r="D132" s="18"/>
      <c r="E132" s="15"/>
      <c r="F132" s="15"/>
      <c r="G132" s="20"/>
      <c r="H132" s="17"/>
      <c r="I132" s="18"/>
      <c r="J132" s="19" t="str">
        <f>IF(A132="","",IF(COUNTIF($A$4:$A$203,A132)&gt;1,"ID duplicado",IF(AND(C132&lt;&gt;"",COUNTIF($C$4:$C$203,C132)&gt;1),"CPF/CNPJ duplicado","OK")))</f>
        <v/>
      </c>
    </row>
    <row r="133" spans="1:10" x14ac:dyDescent="0.3">
      <c r="A133" s="17"/>
      <c r="B133" s="15"/>
      <c r="C133" s="16"/>
      <c r="D133" s="18"/>
      <c r="E133" s="15"/>
      <c r="F133" s="15"/>
      <c r="G133" s="20"/>
      <c r="H133" s="17"/>
      <c r="I133" s="18"/>
      <c r="J133" s="19" t="str">
        <f>IF(A133="","",IF(COUNTIF($A$4:$A$203,A133)&gt;1,"ID duplicado",IF(AND(C133&lt;&gt;"",COUNTIF($C$4:$C$203,C133)&gt;1),"CPF/CNPJ duplicado","OK")))</f>
        <v/>
      </c>
    </row>
    <row r="134" spans="1:10" x14ac:dyDescent="0.3">
      <c r="A134" s="17"/>
      <c r="B134" s="15"/>
      <c r="C134" s="16"/>
      <c r="D134" s="18"/>
      <c r="E134" s="15"/>
      <c r="F134" s="15"/>
      <c r="G134" s="20"/>
      <c r="H134" s="17"/>
      <c r="I134" s="18"/>
      <c r="J134" s="19" t="str">
        <f>IF(A134="","",IF(COUNTIF($A$4:$A$203,A134)&gt;1,"ID duplicado",IF(AND(C134&lt;&gt;"",COUNTIF($C$4:$C$203,C134)&gt;1),"CPF/CNPJ duplicado","OK")))</f>
        <v/>
      </c>
    </row>
    <row r="135" spans="1:10" x14ac:dyDescent="0.3">
      <c r="A135" s="17"/>
      <c r="B135" s="15"/>
      <c r="C135" s="16"/>
      <c r="D135" s="18"/>
      <c r="E135" s="15"/>
      <c r="F135" s="15"/>
      <c r="G135" s="20"/>
      <c r="H135" s="17"/>
      <c r="I135" s="18"/>
      <c r="J135" s="19" t="str">
        <f>IF(A135="","",IF(COUNTIF($A$4:$A$203,A135)&gt;1,"ID duplicado",IF(AND(C135&lt;&gt;"",COUNTIF($C$4:$C$203,C135)&gt;1),"CPF/CNPJ duplicado","OK")))</f>
        <v/>
      </c>
    </row>
    <row r="136" spans="1:10" x14ac:dyDescent="0.3">
      <c r="A136" s="17"/>
      <c r="B136" s="15"/>
      <c r="C136" s="16"/>
      <c r="D136" s="18"/>
      <c r="E136" s="15"/>
      <c r="F136" s="15"/>
      <c r="G136" s="20"/>
      <c r="H136" s="17"/>
      <c r="I136" s="18"/>
      <c r="J136" s="19" t="str">
        <f>IF(A136="","",IF(COUNTIF($A$4:$A$203,A136)&gt;1,"ID duplicado",IF(AND(C136&lt;&gt;"",COUNTIF($C$4:$C$203,C136)&gt;1),"CPF/CNPJ duplicado","OK")))</f>
        <v/>
      </c>
    </row>
    <row r="137" spans="1:10" x14ac:dyDescent="0.3">
      <c r="A137" s="17"/>
      <c r="B137" s="15"/>
      <c r="C137" s="16"/>
      <c r="D137" s="18"/>
      <c r="E137" s="15"/>
      <c r="F137" s="15"/>
      <c r="G137" s="20"/>
      <c r="H137" s="17"/>
      <c r="I137" s="18"/>
      <c r="J137" s="19" t="str">
        <f>IF(A137="","",IF(COUNTIF($A$4:$A$203,A137)&gt;1,"ID duplicado",IF(AND(C137&lt;&gt;"",COUNTIF($C$4:$C$203,C137)&gt;1),"CPF/CNPJ duplicado","OK")))</f>
        <v/>
      </c>
    </row>
    <row r="138" spans="1:10" x14ac:dyDescent="0.3">
      <c r="A138" s="17"/>
      <c r="B138" s="15"/>
      <c r="C138" s="16"/>
      <c r="D138" s="18"/>
      <c r="E138" s="15"/>
      <c r="F138" s="15"/>
      <c r="G138" s="20"/>
      <c r="H138" s="17"/>
      <c r="I138" s="18"/>
      <c r="J138" s="19" t="str">
        <f>IF(A138="","",IF(COUNTIF($A$4:$A$203,A138)&gt;1,"ID duplicado",IF(AND(C138&lt;&gt;"",COUNTIF($C$4:$C$203,C138)&gt;1),"CPF/CNPJ duplicado","OK")))</f>
        <v/>
      </c>
    </row>
    <row r="139" spans="1:10" x14ac:dyDescent="0.3">
      <c r="A139" s="17"/>
      <c r="B139" s="15"/>
      <c r="C139" s="16"/>
      <c r="D139" s="18"/>
      <c r="E139" s="15"/>
      <c r="F139" s="15"/>
      <c r="G139" s="20"/>
      <c r="H139" s="17"/>
      <c r="I139" s="18"/>
      <c r="J139" s="19" t="str">
        <f>IF(A139="","",IF(COUNTIF($A$4:$A$203,A139)&gt;1,"ID duplicado",IF(AND(C139&lt;&gt;"",COUNTIF($C$4:$C$203,C139)&gt;1),"CPF/CNPJ duplicado","OK")))</f>
        <v/>
      </c>
    </row>
    <row r="140" spans="1:10" x14ac:dyDescent="0.3">
      <c r="A140" s="17"/>
      <c r="B140" s="15"/>
      <c r="C140" s="16"/>
      <c r="D140" s="18"/>
      <c r="E140" s="15"/>
      <c r="F140" s="15"/>
      <c r="G140" s="20"/>
      <c r="H140" s="17"/>
      <c r="I140" s="18"/>
      <c r="J140" s="19" t="str">
        <f>IF(A140="","",IF(COUNTIF($A$4:$A$203,A140)&gt;1,"ID duplicado",IF(AND(C140&lt;&gt;"",COUNTIF($C$4:$C$203,C140)&gt;1),"CPF/CNPJ duplicado","OK")))</f>
        <v/>
      </c>
    </row>
    <row r="141" spans="1:10" x14ac:dyDescent="0.3">
      <c r="A141" s="17"/>
      <c r="B141" s="15"/>
      <c r="C141" s="16"/>
      <c r="D141" s="18"/>
      <c r="E141" s="15"/>
      <c r="F141" s="15"/>
      <c r="G141" s="20"/>
      <c r="H141" s="17"/>
      <c r="I141" s="18"/>
      <c r="J141" s="19" t="str">
        <f>IF(A141="","",IF(COUNTIF($A$4:$A$203,A141)&gt;1,"ID duplicado",IF(AND(C141&lt;&gt;"",COUNTIF($C$4:$C$203,C141)&gt;1),"CPF/CNPJ duplicado","OK")))</f>
        <v/>
      </c>
    </row>
    <row r="142" spans="1:10" x14ac:dyDescent="0.3">
      <c r="A142" s="17"/>
      <c r="B142" s="15"/>
      <c r="C142" s="16"/>
      <c r="D142" s="18"/>
      <c r="E142" s="15"/>
      <c r="F142" s="15"/>
      <c r="G142" s="20"/>
      <c r="H142" s="17"/>
      <c r="I142" s="18"/>
      <c r="J142" s="19" t="str">
        <f>IF(A142="","",IF(COUNTIF($A$4:$A$203,A142)&gt;1,"ID duplicado",IF(AND(C142&lt;&gt;"",COUNTIF($C$4:$C$203,C142)&gt;1),"CPF/CNPJ duplicado","OK")))</f>
        <v/>
      </c>
    </row>
    <row r="143" spans="1:10" x14ac:dyDescent="0.3">
      <c r="A143" s="17"/>
      <c r="B143" s="15"/>
      <c r="C143" s="16"/>
      <c r="D143" s="18"/>
      <c r="E143" s="15"/>
      <c r="F143" s="15"/>
      <c r="G143" s="20"/>
      <c r="H143" s="17"/>
      <c r="I143" s="18"/>
      <c r="J143" s="19" t="str">
        <f>IF(A143="","",IF(COUNTIF($A$4:$A$203,A143)&gt;1,"ID duplicado",IF(AND(C143&lt;&gt;"",COUNTIF($C$4:$C$203,C143)&gt;1),"CPF/CNPJ duplicado","OK")))</f>
        <v/>
      </c>
    </row>
    <row r="144" spans="1:10" x14ac:dyDescent="0.3">
      <c r="A144" s="17"/>
      <c r="B144" s="15"/>
      <c r="C144" s="16"/>
      <c r="D144" s="18"/>
      <c r="E144" s="15"/>
      <c r="F144" s="15"/>
      <c r="G144" s="20"/>
      <c r="H144" s="17"/>
      <c r="I144" s="18"/>
      <c r="J144" s="19" t="str">
        <f>IF(A144="","",IF(COUNTIF($A$4:$A$203,A144)&gt;1,"ID duplicado",IF(AND(C144&lt;&gt;"",COUNTIF($C$4:$C$203,C144)&gt;1),"CPF/CNPJ duplicado","OK")))</f>
        <v/>
      </c>
    </row>
    <row r="145" spans="1:10" x14ac:dyDescent="0.3">
      <c r="A145" s="17"/>
      <c r="B145" s="15"/>
      <c r="C145" s="16"/>
      <c r="D145" s="18"/>
      <c r="E145" s="15"/>
      <c r="F145" s="15"/>
      <c r="G145" s="20"/>
      <c r="H145" s="17"/>
      <c r="I145" s="18"/>
      <c r="J145" s="19" t="str">
        <f>IF(A145="","",IF(COUNTIF($A$4:$A$203,A145)&gt;1,"ID duplicado",IF(AND(C145&lt;&gt;"",COUNTIF($C$4:$C$203,C145)&gt;1),"CPF/CNPJ duplicado","OK")))</f>
        <v/>
      </c>
    </row>
    <row r="146" spans="1:10" x14ac:dyDescent="0.3">
      <c r="A146" s="17"/>
      <c r="B146" s="15"/>
      <c r="C146" s="16"/>
      <c r="D146" s="18"/>
      <c r="E146" s="15"/>
      <c r="F146" s="15"/>
      <c r="G146" s="20"/>
      <c r="H146" s="17"/>
      <c r="I146" s="18"/>
      <c r="J146" s="19" t="str">
        <f>IF(A146="","",IF(COUNTIF($A$4:$A$203,A146)&gt;1,"ID duplicado",IF(AND(C146&lt;&gt;"",COUNTIF($C$4:$C$203,C146)&gt;1),"CPF/CNPJ duplicado","OK")))</f>
        <v/>
      </c>
    </row>
    <row r="147" spans="1:10" x14ac:dyDescent="0.3">
      <c r="A147" s="17"/>
      <c r="B147" s="15"/>
      <c r="C147" s="16"/>
      <c r="D147" s="18"/>
      <c r="E147" s="15"/>
      <c r="F147" s="15"/>
      <c r="G147" s="20"/>
      <c r="H147" s="17"/>
      <c r="I147" s="18"/>
      <c r="J147" s="19" t="str">
        <f>IF(A147="","",IF(COUNTIF($A$4:$A$203,A147)&gt;1,"ID duplicado",IF(AND(C147&lt;&gt;"",COUNTIF($C$4:$C$203,C147)&gt;1),"CPF/CNPJ duplicado","OK")))</f>
        <v/>
      </c>
    </row>
    <row r="148" spans="1:10" x14ac:dyDescent="0.3">
      <c r="A148" s="17"/>
      <c r="B148" s="15"/>
      <c r="C148" s="16"/>
      <c r="D148" s="18"/>
      <c r="E148" s="15"/>
      <c r="F148" s="15"/>
      <c r="G148" s="20"/>
      <c r="H148" s="17"/>
      <c r="I148" s="18"/>
      <c r="J148" s="19" t="str">
        <f>IF(A148="","",IF(COUNTIF($A$4:$A$203,A148)&gt;1,"ID duplicado",IF(AND(C148&lt;&gt;"",COUNTIF($C$4:$C$203,C148)&gt;1),"CPF/CNPJ duplicado","OK")))</f>
        <v/>
      </c>
    </row>
    <row r="149" spans="1:10" x14ac:dyDescent="0.3">
      <c r="A149" s="17"/>
      <c r="B149" s="15"/>
      <c r="C149" s="16"/>
      <c r="D149" s="18"/>
      <c r="E149" s="15"/>
      <c r="F149" s="15"/>
      <c r="G149" s="20"/>
      <c r="H149" s="17"/>
      <c r="I149" s="18"/>
      <c r="J149" s="19" t="str">
        <f>IF(A149="","",IF(COUNTIF($A$4:$A$203,A149)&gt;1,"ID duplicado",IF(AND(C149&lt;&gt;"",COUNTIF($C$4:$C$203,C149)&gt;1),"CPF/CNPJ duplicado","OK")))</f>
        <v/>
      </c>
    </row>
    <row r="150" spans="1:10" x14ac:dyDescent="0.3">
      <c r="A150" s="17"/>
      <c r="B150" s="15"/>
      <c r="C150" s="16"/>
      <c r="D150" s="18"/>
      <c r="E150" s="15"/>
      <c r="F150" s="15"/>
      <c r="G150" s="20"/>
      <c r="H150" s="17"/>
      <c r="I150" s="18"/>
      <c r="J150" s="19" t="str">
        <f>IF(A150="","",IF(COUNTIF($A$4:$A$203,A150)&gt;1,"ID duplicado",IF(AND(C150&lt;&gt;"",COUNTIF($C$4:$C$203,C150)&gt;1),"CPF/CNPJ duplicado","OK")))</f>
        <v/>
      </c>
    </row>
    <row r="151" spans="1:10" x14ac:dyDescent="0.3">
      <c r="A151" s="17"/>
      <c r="B151" s="15"/>
      <c r="C151" s="16"/>
      <c r="D151" s="18"/>
      <c r="E151" s="15"/>
      <c r="F151" s="15"/>
      <c r="G151" s="20"/>
      <c r="H151" s="17"/>
      <c r="I151" s="18"/>
      <c r="J151" s="19" t="str">
        <f>IF(A151="","",IF(COUNTIF($A$4:$A$203,A151)&gt;1,"ID duplicado",IF(AND(C151&lt;&gt;"",COUNTIF($C$4:$C$203,C151)&gt;1),"CPF/CNPJ duplicado","OK")))</f>
        <v/>
      </c>
    </row>
    <row r="152" spans="1:10" x14ac:dyDescent="0.3">
      <c r="A152" s="17"/>
      <c r="B152" s="15"/>
      <c r="C152" s="16"/>
      <c r="D152" s="18"/>
      <c r="E152" s="15"/>
      <c r="F152" s="15"/>
      <c r="G152" s="20"/>
      <c r="H152" s="17"/>
      <c r="I152" s="18"/>
      <c r="J152" s="19" t="str">
        <f>IF(A152="","",IF(COUNTIF($A$4:$A$203,A152)&gt;1,"ID duplicado",IF(AND(C152&lt;&gt;"",COUNTIF($C$4:$C$203,C152)&gt;1),"CPF/CNPJ duplicado","OK")))</f>
        <v/>
      </c>
    </row>
    <row r="153" spans="1:10" x14ac:dyDescent="0.3">
      <c r="A153" s="17"/>
      <c r="B153" s="15"/>
      <c r="C153" s="16"/>
      <c r="D153" s="18"/>
      <c r="E153" s="15"/>
      <c r="F153" s="15"/>
      <c r="G153" s="20"/>
      <c r="H153" s="17"/>
      <c r="I153" s="18"/>
      <c r="J153" s="19" t="str">
        <f>IF(A153="","",IF(COUNTIF($A$4:$A$203,A153)&gt;1,"ID duplicado",IF(AND(C153&lt;&gt;"",COUNTIF($C$4:$C$203,C153)&gt;1),"CPF/CNPJ duplicado","OK")))</f>
        <v/>
      </c>
    </row>
    <row r="154" spans="1:10" x14ac:dyDescent="0.3">
      <c r="A154" s="17"/>
      <c r="B154" s="15"/>
      <c r="C154" s="16"/>
      <c r="D154" s="18"/>
      <c r="E154" s="15"/>
      <c r="F154" s="15"/>
      <c r="G154" s="20"/>
      <c r="H154" s="17"/>
      <c r="I154" s="18"/>
      <c r="J154" s="19" t="str">
        <f>IF(A154="","",IF(COUNTIF($A$4:$A$203,A154)&gt;1,"ID duplicado",IF(AND(C154&lt;&gt;"",COUNTIF($C$4:$C$203,C154)&gt;1),"CPF/CNPJ duplicado","OK")))</f>
        <v/>
      </c>
    </row>
    <row r="155" spans="1:10" x14ac:dyDescent="0.3">
      <c r="A155" s="17"/>
      <c r="B155" s="15"/>
      <c r="C155" s="16"/>
      <c r="D155" s="18"/>
      <c r="E155" s="15"/>
      <c r="F155" s="15"/>
      <c r="G155" s="20"/>
      <c r="H155" s="17"/>
      <c r="I155" s="18"/>
      <c r="J155" s="19" t="str">
        <f>IF(A155="","",IF(COUNTIF($A$4:$A$203,A155)&gt;1,"ID duplicado",IF(AND(C155&lt;&gt;"",COUNTIF($C$4:$C$203,C155)&gt;1),"CPF/CNPJ duplicado","OK")))</f>
        <v/>
      </c>
    </row>
    <row r="156" spans="1:10" x14ac:dyDescent="0.3">
      <c r="A156" s="17"/>
      <c r="B156" s="15"/>
      <c r="C156" s="16"/>
      <c r="D156" s="18"/>
      <c r="E156" s="15"/>
      <c r="F156" s="15"/>
      <c r="G156" s="20"/>
      <c r="H156" s="17"/>
      <c r="I156" s="18"/>
      <c r="J156" s="19" t="str">
        <f>IF(A156="","",IF(COUNTIF($A$4:$A$203,A156)&gt;1,"ID duplicado",IF(AND(C156&lt;&gt;"",COUNTIF($C$4:$C$203,C156)&gt;1),"CPF/CNPJ duplicado","OK")))</f>
        <v/>
      </c>
    </row>
    <row r="157" spans="1:10" x14ac:dyDescent="0.3">
      <c r="A157" s="17"/>
      <c r="B157" s="15"/>
      <c r="C157" s="16"/>
      <c r="D157" s="18"/>
      <c r="E157" s="15"/>
      <c r="F157" s="15"/>
      <c r="G157" s="20"/>
      <c r="H157" s="17"/>
      <c r="I157" s="18"/>
      <c r="J157" s="19" t="str">
        <f>IF(A157="","",IF(COUNTIF($A$4:$A$203,A157)&gt;1,"ID duplicado",IF(AND(C157&lt;&gt;"",COUNTIF($C$4:$C$203,C157)&gt;1),"CPF/CNPJ duplicado","OK")))</f>
        <v/>
      </c>
    </row>
    <row r="158" spans="1:10" x14ac:dyDescent="0.3">
      <c r="A158" s="17"/>
      <c r="B158" s="15"/>
      <c r="C158" s="16"/>
      <c r="D158" s="18"/>
      <c r="E158" s="15"/>
      <c r="F158" s="15"/>
      <c r="G158" s="20"/>
      <c r="H158" s="17"/>
      <c r="I158" s="18"/>
      <c r="J158" s="19" t="str">
        <f>IF(A158="","",IF(COUNTIF($A$4:$A$203,A158)&gt;1,"ID duplicado",IF(AND(C158&lt;&gt;"",COUNTIF($C$4:$C$203,C158)&gt;1),"CPF/CNPJ duplicado","OK")))</f>
        <v/>
      </c>
    </row>
    <row r="159" spans="1:10" x14ac:dyDescent="0.3">
      <c r="A159" s="17"/>
      <c r="B159" s="15"/>
      <c r="C159" s="16"/>
      <c r="D159" s="18"/>
      <c r="E159" s="15"/>
      <c r="F159" s="15"/>
      <c r="G159" s="20"/>
      <c r="H159" s="17"/>
      <c r="I159" s="18"/>
      <c r="J159" s="19" t="str">
        <f>IF(A159="","",IF(COUNTIF($A$4:$A$203,A159)&gt;1,"ID duplicado",IF(AND(C159&lt;&gt;"",COUNTIF($C$4:$C$203,C159)&gt;1),"CPF/CNPJ duplicado","OK")))</f>
        <v/>
      </c>
    </row>
    <row r="160" spans="1:10" x14ac:dyDescent="0.3">
      <c r="A160" s="17"/>
      <c r="B160" s="15"/>
      <c r="C160" s="16"/>
      <c r="D160" s="18"/>
      <c r="E160" s="15"/>
      <c r="F160" s="15"/>
      <c r="G160" s="20"/>
      <c r="H160" s="17"/>
      <c r="I160" s="18"/>
      <c r="J160" s="19" t="str">
        <f>IF(A160="","",IF(COUNTIF($A$4:$A$203,A160)&gt;1,"ID duplicado",IF(AND(C160&lt;&gt;"",COUNTIF($C$4:$C$203,C160)&gt;1),"CPF/CNPJ duplicado","OK")))</f>
        <v/>
      </c>
    </row>
    <row r="161" spans="1:10" x14ac:dyDescent="0.3">
      <c r="A161" s="17"/>
      <c r="B161" s="15"/>
      <c r="C161" s="16"/>
      <c r="D161" s="18"/>
      <c r="E161" s="15"/>
      <c r="F161" s="15"/>
      <c r="G161" s="20"/>
      <c r="H161" s="17"/>
      <c r="I161" s="18"/>
      <c r="J161" s="19" t="str">
        <f>IF(A161="","",IF(COUNTIF($A$4:$A$203,A161)&gt;1,"ID duplicado",IF(AND(C161&lt;&gt;"",COUNTIF($C$4:$C$203,C161)&gt;1),"CPF/CNPJ duplicado","OK")))</f>
        <v/>
      </c>
    </row>
    <row r="162" spans="1:10" x14ac:dyDescent="0.3">
      <c r="A162" s="17"/>
      <c r="B162" s="15"/>
      <c r="C162" s="16"/>
      <c r="D162" s="18"/>
      <c r="E162" s="15"/>
      <c r="F162" s="15"/>
      <c r="G162" s="20"/>
      <c r="H162" s="17"/>
      <c r="I162" s="18"/>
      <c r="J162" s="19" t="str">
        <f>IF(A162="","",IF(COUNTIF($A$4:$A$203,A162)&gt;1,"ID duplicado",IF(AND(C162&lt;&gt;"",COUNTIF($C$4:$C$203,C162)&gt;1),"CPF/CNPJ duplicado","OK")))</f>
        <v/>
      </c>
    </row>
    <row r="163" spans="1:10" x14ac:dyDescent="0.3">
      <c r="A163" s="17"/>
      <c r="B163" s="15"/>
      <c r="C163" s="16"/>
      <c r="D163" s="18"/>
      <c r="E163" s="15"/>
      <c r="F163" s="15"/>
      <c r="G163" s="20"/>
      <c r="H163" s="17"/>
      <c r="I163" s="18"/>
      <c r="J163" s="19" t="str">
        <f>IF(A163="","",IF(COUNTIF($A$4:$A$203,A163)&gt;1,"ID duplicado",IF(AND(C163&lt;&gt;"",COUNTIF($C$4:$C$203,C163)&gt;1),"CPF/CNPJ duplicado","OK")))</f>
        <v/>
      </c>
    </row>
    <row r="164" spans="1:10" x14ac:dyDescent="0.3">
      <c r="A164" s="17"/>
      <c r="B164" s="15"/>
      <c r="C164" s="16"/>
      <c r="D164" s="18"/>
      <c r="E164" s="15"/>
      <c r="F164" s="15"/>
      <c r="G164" s="20"/>
      <c r="H164" s="17"/>
      <c r="I164" s="18"/>
      <c r="J164" s="19" t="str">
        <f>IF(A164="","",IF(COUNTIF($A$4:$A$203,A164)&gt;1,"ID duplicado",IF(AND(C164&lt;&gt;"",COUNTIF($C$4:$C$203,C164)&gt;1),"CPF/CNPJ duplicado","OK")))</f>
        <v/>
      </c>
    </row>
    <row r="165" spans="1:10" x14ac:dyDescent="0.3">
      <c r="A165" s="17"/>
      <c r="B165" s="15"/>
      <c r="C165" s="16"/>
      <c r="D165" s="18"/>
      <c r="E165" s="15"/>
      <c r="F165" s="15"/>
      <c r="G165" s="20"/>
      <c r="H165" s="17"/>
      <c r="I165" s="18"/>
      <c r="J165" s="19" t="str">
        <f>IF(A165="","",IF(COUNTIF($A$4:$A$203,A165)&gt;1,"ID duplicado",IF(AND(C165&lt;&gt;"",COUNTIF($C$4:$C$203,C165)&gt;1),"CPF/CNPJ duplicado","OK")))</f>
        <v/>
      </c>
    </row>
    <row r="166" spans="1:10" x14ac:dyDescent="0.3">
      <c r="A166" s="17"/>
      <c r="B166" s="15"/>
      <c r="C166" s="16"/>
      <c r="D166" s="18"/>
      <c r="E166" s="15"/>
      <c r="F166" s="15"/>
      <c r="G166" s="20"/>
      <c r="H166" s="17"/>
      <c r="I166" s="18"/>
      <c r="J166" s="19" t="str">
        <f>IF(A166="","",IF(COUNTIF($A$4:$A$203,A166)&gt;1,"ID duplicado",IF(AND(C166&lt;&gt;"",COUNTIF($C$4:$C$203,C166)&gt;1),"CPF/CNPJ duplicado","OK")))</f>
        <v/>
      </c>
    </row>
    <row r="167" spans="1:10" x14ac:dyDescent="0.3">
      <c r="A167" s="17"/>
      <c r="B167" s="15"/>
      <c r="C167" s="16"/>
      <c r="D167" s="18"/>
      <c r="E167" s="15"/>
      <c r="F167" s="15"/>
      <c r="G167" s="20"/>
      <c r="H167" s="17"/>
      <c r="I167" s="18"/>
      <c r="J167" s="19" t="str">
        <f>IF(A167="","",IF(COUNTIF($A$4:$A$203,A167)&gt;1,"ID duplicado",IF(AND(C167&lt;&gt;"",COUNTIF($C$4:$C$203,C167)&gt;1),"CPF/CNPJ duplicado","OK")))</f>
        <v/>
      </c>
    </row>
    <row r="168" spans="1:10" x14ac:dyDescent="0.3">
      <c r="A168" s="17"/>
      <c r="B168" s="15"/>
      <c r="C168" s="16"/>
      <c r="D168" s="18"/>
      <c r="E168" s="15"/>
      <c r="F168" s="15"/>
      <c r="G168" s="20"/>
      <c r="H168" s="17"/>
      <c r="I168" s="18"/>
      <c r="J168" s="19" t="str">
        <f>IF(A168="","",IF(COUNTIF($A$4:$A$203,A168)&gt;1,"ID duplicado",IF(AND(C168&lt;&gt;"",COUNTIF($C$4:$C$203,C168)&gt;1),"CPF/CNPJ duplicado","OK")))</f>
        <v/>
      </c>
    </row>
    <row r="169" spans="1:10" x14ac:dyDescent="0.3">
      <c r="A169" s="17"/>
      <c r="B169" s="15"/>
      <c r="C169" s="16"/>
      <c r="D169" s="18"/>
      <c r="E169" s="15"/>
      <c r="F169" s="15"/>
      <c r="G169" s="20"/>
      <c r="H169" s="17"/>
      <c r="I169" s="18"/>
      <c r="J169" s="19" t="str">
        <f>IF(A169="","",IF(COUNTIF($A$4:$A$203,A169)&gt;1,"ID duplicado",IF(AND(C169&lt;&gt;"",COUNTIF($C$4:$C$203,C169)&gt;1),"CPF/CNPJ duplicado","OK")))</f>
        <v/>
      </c>
    </row>
    <row r="170" spans="1:10" x14ac:dyDescent="0.3">
      <c r="A170" s="17"/>
      <c r="B170" s="15"/>
      <c r="C170" s="16"/>
      <c r="D170" s="18"/>
      <c r="E170" s="15"/>
      <c r="F170" s="15"/>
      <c r="G170" s="20"/>
      <c r="H170" s="17"/>
      <c r="I170" s="18"/>
      <c r="J170" s="19" t="str">
        <f>IF(A170="","",IF(COUNTIF($A$4:$A$203,A170)&gt;1,"ID duplicado",IF(AND(C170&lt;&gt;"",COUNTIF($C$4:$C$203,C170)&gt;1),"CPF/CNPJ duplicado","OK")))</f>
        <v/>
      </c>
    </row>
    <row r="171" spans="1:10" x14ac:dyDescent="0.3">
      <c r="A171" s="17"/>
      <c r="B171" s="15"/>
      <c r="C171" s="16"/>
      <c r="D171" s="18"/>
      <c r="E171" s="15"/>
      <c r="F171" s="15"/>
      <c r="G171" s="20"/>
      <c r="H171" s="17"/>
      <c r="I171" s="18"/>
      <c r="J171" s="19" t="str">
        <f>IF(A171="","",IF(COUNTIF($A$4:$A$203,A171)&gt;1,"ID duplicado",IF(AND(C171&lt;&gt;"",COUNTIF($C$4:$C$203,C171)&gt;1),"CPF/CNPJ duplicado","OK")))</f>
        <v/>
      </c>
    </row>
    <row r="172" spans="1:10" x14ac:dyDescent="0.3">
      <c r="A172" s="17"/>
      <c r="B172" s="15"/>
      <c r="C172" s="16"/>
      <c r="D172" s="18"/>
      <c r="E172" s="15"/>
      <c r="F172" s="15"/>
      <c r="G172" s="20"/>
      <c r="H172" s="17"/>
      <c r="I172" s="18"/>
      <c r="J172" s="19" t="str">
        <f>IF(A172="","",IF(COUNTIF($A$4:$A$203,A172)&gt;1,"ID duplicado",IF(AND(C172&lt;&gt;"",COUNTIF($C$4:$C$203,C172)&gt;1),"CPF/CNPJ duplicado","OK")))</f>
        <v/>
      </c>
    </row>
    <row r="173" spans="1:10" x14ac:dyDescent="0.3">
      <c r="A173" s="17"/>
      <c r="B173" s="15"/>
      <c r="C173" s="16"/>
      <c r="D173" s="18"/>
      <c r="E173" s="15"/>
      <c r="F173" s="15"/>
      <c r="G173" s="20"/>
      <c r="H173" s="17"/>
      <c r="I173" s="18"/>
      <c r="J173" s="19" t="str">
        <f>IF(A173="","",IF(COUNTIF($A$4:$A$203,A173)&gt;1,"ID duplicado",IF(AND(C173&lt;&gt;"",COUNTIF($C$4:$C$203,C173)&gt;1),"CPF/CNPJ duplicado","OK")))</f>
        <v/>
      </c>
    </row>
    <row r="174" spans="1:10" x14ac:dyDescent="0.3">
      <c r="A174" s="17"/>
      <c r="B174" s="15"/>
      <c r="C174" s="16"/>
      <c r="D174" s="18"/>
      <c r="E174" s="15"/>
      <c r="F174" s="15"/>
      <c r="G174" s="20"/>
      <c r="H174" s="17"/>
      <c r="I174" s="18"/>
      <c r="J174" s="19" t="str">
        <f>IF(A174="","",IF(COUNTIF($A$4:$A$203,A174)&gt;1,"ID duplicado",IF(AND(C174&lt;&gt;"",COUNTIF($C$4:$C$203,C174)&gt;1),"CPF/CNPJ duplicado","OK")))</f>
        <v/>
      </c>
    </row>
    <row r="175" spans="1:10" x14ac:dyDescent="0.3">
      <c r="A175" s="17"/>
      <c r="B175" s="15"/>
      <c r="C175" s="16"/>
      <c r="D175" s="18"/>
      <c r="E175" s="15"/>
      <c r="F175" s="15"/>
      <c r="G175" s="20"/>
      <c r="H175" s="17"/>
      <c r="I175" s="18"/>
      <c r="J175" s="19" t="str">
        <f>IF(A175="","",IF(COUNTIF($A$4:$A$203,A175)&gt;1,"ID duplicado",IF(AND(C175&lt;&gt;"",COUNTIF($C$4:$C$203,C175)&gt;1),"CPF/CNPJ duplicado","OK")))</f>
        <v/>
      </c>
    </row>
    <row r="176" spans="1:10" x14ac:dyDescent="0.3">
      <c r="A176" s="17"/>
      <c r="B176" s="15"/>
      <c r="C176" s="16"/>
      <c r="D176" s="18"/>
      <c r="E176" s="15"/>
      <c r="F176" s="15"/>
      <c r="G176" s="20"/>
      <c r="H176" s="17"/>
      <c r="I176" s="18"/>
      <c r="J176" s="19" t="str">
        <f>IF(A176="","",IF(COUNTIF($A$4:$A$203,A176)&gt;1,"ID duplicado",IF(AND(C176&lt;&gt;"",COUNTIF($C$4:$C$203,C176)&gt;1),"CPF/CNPJ duplicado","OK")))</f>
        <v/>
      </c>
    </row>
    <row r="177" spans="1:10" x14ac:dyDescent="0.3">
      <c r="A177" s="17"/>
      <c r="B177" s="15"/>
      <c r="C177" s="16"/>
      <c r="D177" s="18"/>
      <c r="E177" s="15"/>
      <c r="F177" s="15"/>
      <c r="G177" s="20"/>
      <c r="H177" s="17"/>
      <c r="I177" s="18"/>
      <c r="J177" s="19" t="str">
        <f>IF(A177="","",IF(COUNTIF($A$4:$A$203,A177)&gt;1,"ID duplicado",IF(AND(C177&lt;&gt;"",COUNTIF($C$4:$C$203,C177)&gt;1),"CPF/CNPJ duplicado","OK")))</f>
        <v/>
      </c>
    </row>
    <row r="178" spans="1:10" x14ac:dyDescent="0.3">
      <c r="A178" s="17"/>
      <c r="B178" s="15"/>
      <c r="C178" s="16"/>
      <c r="D178" s="18"/>
      <c r="E178" s="15"/>
      <c r="F178" s="15"/>
      <c r="G178" s="20"/>
      <c r="H178" s="17"/>
      <c r="I178" s="18"/>
      <c r="J178" s="19" t="str">
        <f>IF(A178="","",IF(COUNTIF($A$4:$A$203,A178)&gt;1,"ID duplicado",IF(AND(C178&lt;&gt;"",COUNTIF($C$4:$C$203,C178)&gt;1),"CPF/CNPJ duplicado","OK")))</f>
        <v/>
      </c>
    </row>
    <row r="179" spans="1:10" x14ac:dyDescent="0.3">
      <c r="A179" s="17"/>
      <c r="B179" s="15"/>
      <c r="C179" s="16"/>
      <c r="D179" s="18"/>
      <c r="E179" s="15"/>
      <c r="F179" s="15"/>
      <c r="G179" s="20"/>
      <c r="H179" s="17"/>
      <c r="I179" s="18"/>
      <c r="J179" s="19" t="str">
        <f>IF(A179="","",IF(COUNTIF($A$4:$A$203,A179)&gt;1,"ID duplicado",IF(AND(C179&lt;&gt;"",COUNTIF($C$4:$C$203,C179)&gt;1),"CPF/CNPJ duplicado","OK")))</f>
        <v/>
      </c>
    </row>
    <row r="180" spans="1:10" x14ac:dyDescent="0.3">
      <c r="A180" s="17"/>
      <c r="B180" s="15"/>
      <c r="C180" s="16"/>
      <c r="D180" s="18"/>
      <c r="E180" s="15"/>
      <c r="F180" s="15"/>
      <c r="G180" s="20"/>
      <c r="H180" s="17"/>
      <c r="I180" s="18"/>
      <c r="J180" s="19" t="str">
        <f>IF(A180="","",IF(COUNTIF($A$4:$A$203,A180)&gt;1,"ID duplicado",IF(AND(C180&lt;&gt;"",COUNTIF($C$4:$C$203,C180)&gt;1),"CPF/CNPJ duplicado","OK")))</f>
        <v/>
      </c>
    </row>
    <row r="181" spans="1:10" x14ac:dyDescent="0.3">
      <c r="A181" s="17"/>
      <c r="B181" s="15"/>
      <c r="C181" s="16"/>
      <c r="D181" s="18"/>
      <c r="E181" s="15"/>
      <c r="F181" s="15"/>
      <c r="G181" s="20"/>
      <c r="H181" s="17"/>
      <c r="I181" s="18"/>
      <c r="J181" s="19" t="str">
        <f>IF(A181="","",IF(COUNTIF($A$4:$A$203,A181)&gt;1,"ID duplicado",IF(AND(C181&lt;&gt;"",COUNTIF($C$4:$C$203,C181)&gt;1),"CPF/CNPJ duplicado","OK")))</f>
        <v/>
      </c>
    </row>
    <row r="182" spans="1:10" x14ac:dyDescent="0.3">
      <c r="A182" s="17"/>
      <c r="B182" s="15"/>
      <c r="C182" s="16"/>
      <c r="D182" s="18"/>
      <c r="E182" s="15"/>
      <c r="F182" s="15"/>
      <c r="G182" s="20"/>
      <c r="H182" s="17"/>
      <c r="I182" s="18"/>
      <c r="J182" s="19" t="str">
        <f>IF(A182="","",IF(COUNTIF($A$4:$A$203,A182)&gt;1,"ID duplicado",IF(AND(C182&lt;&gt;"",COUNTIF($C$4:$C$203,C182)&gt;1),"CPF/CNPJ duplicado","OK")))</f>
        <v/>
      </c>
    </row>
    <row r="183" spans="1:10" x14ac:dyDescent="0.3">
      <c r="A183" s="17"/>
      <c r="B183" s="15"/>
      <c r="C183" s="16"/>
      <c r="D183" s="18"/>
      <c r="E183" s="15"/>
      <c r="F183" s="15"/>
      <c r="G183" s="20"/>
      <c r="H183" s="17"/>
      <c r="I183" s="18"/>
      <c r="J183" s="19" t="str">
        <f>IF(A183="","",IF(COUNTIF($A$4:$A$203,A183)&gt;1,"ID duplicado",IF(AND(C183&lt;&gt;"",COUNTIF($C$4:$C$203,C183)&gt;1),"CPF/CNPJ duplicado","OK")))</f>
        <v/>
      </c>
    </row>
    <row r="184" spans="1:10" x14ac:dyDescent="0.3">
      <c r="A184" s="17"/>
      <c r="B184" s="15"/>
      <c r="C184" s="16"/>
      <c r="D184" s="18"/>
      <c r="E184" s="15"/>
      <c r="F184" s="15"/>
      <c r="G184" s="20"/>
      <c r="H184" s="17"/>
      <c r="I184" s="18"/>
      <c r="J184" s="19" t="str">
        <f>IF(A184="","",IF(COUNTIF($A$4:$A$203,A184)&gt;1,"ID duplicado",IF(AND(C184&lt;&gt;"",COUNTIF($C$4:$C$203,C184)&gt;1),"CPF/CNPJ duplicado","OK")))</f>
        <v/>
      </c>
    </row>
    <row r="185" spans="1:10" x14ac:dyDescent="0.3">
      <c r="A185" s="17"/>
      <c r="B185" s="15"/>
      <c r="C185" s="16"/>
      <c r="D185" s="18"/>
      <c r="E185" s="15"/>
      <c r="F185" s="15"/>
      <c r="G185" s="20"/>
      <c r="H185" s="17"/>
      <c r="I185" s="18"/>
      <c r="J185" s="19" t="str">
        <f>IF(A185="","",IF(COUNTIF($A$4:$A$203,A185)&gt;1,"ID duplicado",IF(AND(C185&lt;&gt;"",COUNTIF($C$4:$C$203,C185)&gt;1),"CPF/CNPJ duplicado","OK")))</f>
        <v/>
      </c>
    </row>
    <row r="186" spans="1:10" x14ac:dyDescent="0.3">
      <c r="A186" s="17"/>
      <c r="B186" s="15"/>
      <c r="C186" s="16"/>
      <c r="D186" s="18"/>
      <c r="E186" s="15"/>
      <c r="F186" s="15"/>
      <c r="G186" s="20"/>
      <c r="H186" s="17"/>
      <c r="I186" s="18"/>
      <c r="J186" s="19" t="str">
        <f>IF(A186="","",IF(COUNTIF($A$4:$A$203,A186)&gt;1,"ID duplicado",IF(AND(C186&lt;&gt;"",COUNTIF($C$4:$C$203,C186)&gt;1),"CPF/CNPJ duplicado","OK")))</f>
        <v/>
      </c>
    </row>
    <row r="187" spans="1:10" x14ac:dyDescent="0.3">
      <c r="A187" s="17"/>
      <c r="B187" s="15"/>
      <c r="C187" s="16"/>
      <c r="D187" s="18"/>
      <c r="E187" s="15"/>
      <c r="F187" s="15"/>
      <c r="G187" s="20"/>
      <c r="H187" s="17"/>
      <c r="I187" s="18"/>
      <c r="J187" s="19" t="str">
        <f>IF(A187="","",IF(COUNTIF($A$4:$A$203,A187)&gt;1,"ID duplicado",IF(AND(C187&lt;&gt;"",COUNTIF($C$4:$C$203,C187)&gt;1),"CPF/CNPJ duplicado","OK")))</f>
        <v/>
      </c>
    </row>
    <row r="188" spans="1:10" x14ac:dyDescent="0.3">
      <c r="A188" s="17"/>
      <c r="B188" s="15"/>
      <c r="C188" s="16"/>
      <c r="D188" s="18"/>
      <c r="E188" s="15"/>
      <c r="F188" s="15"/>
      <c r="G188" s="20"/>
      <c r="H188" s="17"/>
      <c r="I188" s="18"/>
      <c r="J188" s="19" t="str">
        <f>IF(A188="","",IF(COUNTIF($A$4:$A$203,A188)&gt;1,"ID duplicado",IF(AND(C188&lt;&gt;"",COUNTIF($C$4:$C$203,C188)&gt;1),"CPF/CNPJ duplicado","OK")))</f>
        <v/>
      </c>
    </row>
    <row r="189" spans="1:10" x14ac:dyDescent="0.3">
      <c r="A189" s="17"/>
      <c r="B189" s="15"/>
      <c r="C189" s="16"/>
      <c r="D189" s="18"/>
      <c r="E189" s="15"/>
      <c r="F189" s="15"/>
      <c r="G189" s="20"/>
      <c r="H189" s="17"/>
      <c r="I189" s="18"/>
      <c r="J189" s="19" t="str">
        <f>IF(A189="","",IF(COUNTIF($A$4:$A$203,A189)&gt;1,"ID duplicado",IF(AND(C189&lt;&gt;"",COUNTIF($C$4:$C$203,C189)&gt;1),"CPF/CNPJ duplicado","OK")))</f>
        <v/>
      </c>
    </row>
    <row r="190" spans="1:10" x14ac:dyDescent="0.3">
      <c r="A190" s="17"/>
      <c r="B190" s="15"/>
      <c r="C190" s="16"/>
      <c r="D190" s="18"/>
      <c r="E190" s="15"/>
      <c r="F190" s="15"/>
      <c r="G190" s="20"/>
      <c r="H190" s="17"/>
      <c r="I190" s="18"/>
      <c r="J190" s="19" t="str">
        <f>IF(A190="","",IF(COUNTIF($A$4:$A$203,A190)&gt;1,"ID duplicado",IF(AND(C190&lt;&gt;"",COUNTIF($C$4:$C$203,C190)&gt;1),"CPF/CNPJ duplicado","OK")))</f>
        <v/>
      </c>
    </row>
    <row r="191" spans="1:10" x14ac:dyDescent="0.3">
      <c r="A191" s="17"/>
      <c r="B191" s="15"/>
      <c r="C191" s="16"/>
      <c r="D191" s="18"/>
      <c r="E191" s="15"/>
      <c r="F191" s="15"/>
      <c r="G191" s="20"/>
      <c r="H191" s="17"/>
      <c r="I191" s="18"/>
      <c r="J191" s="19" t="str">
        <f>IF(A191="","",IF(COUNTIF($A$4:$A$203,A191)&gt;1,"ID duplicado",IF(AND(C191&lt;&gt;"",COUNTIF($C$4:$C$203,C191)&gt;1),"CPF/CNPJ duplicado","OK")))</f>
        <v/>
      </c>
    </row>
    <row r="192" spans="1:10" x14ac:dyDescent="0.3">
      <c r="A192" s="17"/>
      <c r="B192" s="15"/>
      <c r="C192" s="16"/>
      <c r="D192" s="18"/>
      <c r="E192" s="15"/>
      <c r="F192" s="15"/>
      <c r="G192" s="20"/>
      <c r="H192" s="17"/>
      <c r="I192" s="18"/>
      <c r="J192" s="19" t="str">
        <f>IF(A192="","",IF(COUNTIF($A$4:$A$203,A192)&gt;1,"ID duplicado",IF(AND(C192&lt;&gt;"",COUNTIF($C$4:$C$203,C192)&gt;1),"CPF/CNPJ duplicado","OK")))</f>
        <v/>
      </c>
    </row>
    <row r="193" spans="1:10" x14ac:dyDescent="0.3">
      <c r="A193" s="17"/>
      <c r="B193" s="15"/>
      <c r="C193" s="16"/>
      <c r="D193" s="18"/>
      <c r="E193" s="15"/>
      <c r="F193" s="15"/>
      <c r="G193" s="20"/>
      <c r="H193" s="17"/>
      <c r="I193" s="18"/>
      <c r="J193" s="19" t="str">
        <f>IF(A193="","",IF(COUNTIF($A$4:$A$203,A193)&gt;1,"ID duplicado",IF(AND(C193&lt;&gt;"",COUNTIF($C$4:$C$203,C193)&gt;1),"CPF/CNPJ duplicado","OK")))</f>
        <v/>
      </c>
    </row>
    <row r="194" spans="1:10" x14ac:dyDescent="0.3">
      <c r="A194" s="17"/>
      <c r="B194" s="15"/>
      <c r="C194" s="16"/>
      <c r="D194" s="18"/>
      <c r="E194" s="15"/>
      <c r="F194" s="15"/>
      <c r="G194" s="20"/>
      <c r="H194" s="17"/>
      <c r="I194" s="18"/>
      <c r="J194" s="19" t="str">
        <f>IF(A194="","",IF(COUNTIF($A$4:$A$203,A194)&gt;1,"ID duplicado",IF(AND(C194&lt;&gt;"",COUNTIF($C$4:$C$203,C194)&gt;1),"CPF/CNPJ duplicado","OK")))</f>
        <v/>
      </c>
    </row>
    <row r="195" spans="1:10" x14ac:dyDescent="0.3">
      <c r="A195" s="17"/>
      <c r="B195" s="15"/>
      <c r="C195" s="16"/>
      <c r="D195" s="18"/>
      <c r="E195" s="15"/>
      <c r="F195" s="15"/>
      <c r="G195" s="20"/>
      <c r="H195" s="17"/>
      <c r="I195" s="18"/>
      <c r="J195" s="19" t="str">
        <f>IF(A195="","",IF(COUNTIF($A$4:$A$203,A195)&gt;1,"ID duplicado",IF(AND(C195&lt;&gt;"",COUNTIF($C$4:$C$203,C195)&gt;1),"CPF/CNPJ duplicado","OK")))</f>
        <v/>
      </c>
    </row>
    <row r="196" spans="1:10" x14ac:dyDescent="0.3">
      <c r="A196" s="17"/>
      <c r="B196" s="15"/>
      <c r="C196" s="16"/>
      <c r="D196" s="18"/>
      <c r="E196" s="15"/>
      <c r="F196" s="15"/>
      <c r="G196" s="20"/>
      <c r="H196" s="17"/>
      <c r="I196" s="18"/>
      <c r="J196" s="19" t="str">
        <f>IF(A196="","",IF(COUNTIF($A$4:$A$203,A196)&gt;1,"ID duplicado",IF(AND(C196&lt;&gt;"",COUNTIF($C$4:$C$203,C196)&gt;1),"CPF/CNPJ duplicado","OK")))</f>
        <v/>
      </c>
    </row>
    <row r="197" spans="1:10" x14ac:dyDescent="0.3">
      <c r="A197" s="17"/>
      <c r="B197" s="15"/>
      <c r="C197" s="16"/>
      <c r="D197" s="18"/>
      <c r="E197" s="15"/>
      <c r="F197" s="15"/>
      <c r="G197" s="20"/>
      <c r="H197" s="17"/>
      <c r="I197" s="18"/>
      <c r="J197" s="19" t="str">
        <f>IF(A197="","",IF(COUNTIF($A$4:$A$203,A197)&gt;1,"ID duplicado",IF(AND(C197&lt;&gt;"",COUNTIF($C$4:$C$203,C197)&gt;1),"CPF/CNPJ duplicado","OK")))</f>
        <v/>
      </c>
    </row>
    <row r="198" spans="1:10" x14ac:dyDescent="0.3">
      <c r="A198" s="17"/>
      <c r="B198" s="15"/>
      <c r="C198" s="16"/>
      <c r="D198" s="18"/>
      <c r="E198" s="15"/>
      <c r="F198" s="15"/>
      <c r="G198" s="20"/>
      <c r="H198" s="17"/>
      <c r="I198" s="18"/>
      <c r="J198" s="19" t="str">
        <f>IF(A198="","",IF(COUNTIF($A$4:$A$203,A198)&gt;1,"ID duplicado",IF(AND(C198&lt;&gt;"",COUNTIF($C$4:$C$203,C198)&gt;1),"CPF/CNPJ duplicado","OK")))</f>
        <v/>
      </c>
    </row>
    <row r="199" spans="1:10" x14ac:dyDescent="0.3">
      <c r="A199" s="17"/>
      <c r="B199" s="15"/>
      <c r="C199" s="16"/>
      <c r="D199" s="18"/>
      <c r="E199" s="15"/>
      <c r="F199" s="15"/>
      <c r="G199" s="20"/>
      <c r="H199" s="17"/>
      <c r="I199" s="18"/>
      <c r="J199" s="19" t="str">
        <f>IF(A199="","",IF(COUNTIF($A$4:$A$203,A199)&gt;1,"ID duplicado",IF(AND(C199&lt;&gt;"",COUNTIF($C$4:$C$203,C199)&gt;1),"CPF/CNPJ duplicado","OK")))</f>
        <v/>
      </c>
    </row>
    <row r="200" spans="1:10" x14ac:dyDescent="0.3">
      <c r="A200" s="17"/>
      <c r="B200" s="15"/>
      <c r="C200" s="16"/>
      <c r="D200" s="18"/>
      <c r="E200" s="15"/>
      <c r="F200" s="15"/>
      <c r="G200" s="20"/>
      <c r="H200" s="17"/>
      <c r="I200" s="18"/>
      <c r="J200" s="19" t="str">
        <f>IF(A200="","",IF(COUNTIF($A$4:$A$203,A200)&gt;1,"ID duplicado",IF(AND(C200&lt;&gt;"",COUNTIF($C$4:$C$203,C200)&gt;1),"CPF/CNPJ duplicado","OK")))</f>
        <v/>
      </c>
    </row>
    <row r="201" spans="1:10" x14ac:dyDescent="0.3">
      <c r="A201" s="17"/>
      <c r="B201" s="15"/>
      <c r="C201" s="16"/>
      <c r="D201" s="18"/>
      <c r="E201" s="15"/>
      <c r="F201" s="15"/>
      <c r="G201" s="20"/>
      <c r="H201" s="17"/>
      <c r="I201" s="18"/>
      <c r="J201" s="19" t="str">
        <f>IF(A201="","",IF(COUNTIF($A$4:$A$203,A201)&gt;1,"ID duplicado",IF(AND(C201&lt;&gt;"",COUNTIF($C$4:$C$203,C201)&gt;1),"CPF/CNPJ duplicado","OK")))</f>
        <v/>
      </c>
    </row>
    <row r="202" spans="1:10" x14ac:dyDescent="0.3">
      <c r="A202" s="17"/>
      <c r="B202" s="15"/>
      <c r="C202" s="16"/>
      <c r="D202" s="18"/>
      <c r="E202" s="15"/>
      <c r="F202" s="15"/>
      <c r="G202" s="20"/>
      <c r="H202" s="17"/>
      <c r="I202" s="18"/>
      <c r="J202" s="19" t="str">
        <f>IF(A202="","",IF(COUNTIF($A$4:$A$203,A202)&gt;1,"ID duplicado",IF(AND(C202&lt;&gt;"",COUNTIF($C$4:$C$203,C202)&gt;1),"CPF/CNPJ duplicado","OK")))</f>
        <v/>
      </c>
    </row>
    <row r="203" spans="1:10" x14ac:dyDescent="0.3">
      <c r="A203" s="17"/>
      <c r="B203" s="15"/>
      <c r="C203" s="16"/>
      <c r="D203" s="18"/>
      <c r="E203" s="15"/>
      <c r="F203" s="15"/>
      <c r="G203" s="20"/>
      <c r="H203" s="17"/>
      <c r="I203" s="18"/>
      <c r="J203" s="19" t="str">
        <f>IF(A203="","",IF(COUNTIF($A$4:$A$203,A203)&gt;1,"ID duplicado",IF(AND(C203&lt;&gt;"",COUNTIF($C$4:$C$203,C203)&gt;1),"CPF/CNPJ duplicado","OK")))</f>
        <v/>
      </c>
    </row>
  </sheetData>
  <mergeCells count="2">
    <mergeCell ref="A1:J1"/>
    <mergeCell ref="A2:J2"/>
  </mergeCells>
  <conditionalFormatting sqref="J4:J203">
    <cfRule type="cellIs" dxfId="32" priority="1" stopIfTrue="1" operator="equal">
      <formula>"OK"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70BB-9468-4E0D-9C4B-341E9E8828D8}">
  <sheetPr>
    <tabColor rgb="FF4472C4"/>
  </sheetPr>
  <dimension ref="A1:Q203"/>
  <sheetViews>
    <sheetView showGridLines="0" workbookViewId="0">
      <pane ySplit="3" topLeftCell="A4" activePane="bottomLeft" state="frozen"/>
      <selection pane="bottomLeft" sqref="A1:Q6"/>
    </sheetView>
  </sheetViews>
  <sheetFormatPr defaultRowHeight="14.4" x14ac:dyDescent="0.3"/>
  <cols>
    <col min="1" max="1" width="15.77734375" customWidth="1"/>
    <col min="2" max="2" width="13.77734375" customWidth="1"/>
    <col min="3" max="3" width="27.77734375" customWidth="1"/>
    <col min="4" max="4" width="17.77734375" customWidth="1"/>
    <col min="5" max="6" width="18.77734375" customWidth="1"/>
    <col min="7" max="7" width="14.77734375" customWidth="1"/>
    <col min="8" max="8" width="17.77734375" customWidth="1"/>
    <col min="9" max="9" width="16.77734375" customWidth="1"/>
    <col min="10" max="10" width="15.77734375" customWidth="1"/>
    <col min="11" max="14" width="18.77734375" customWidth="1"/>
    <col min="15" max="15" width="13.77734375" customWidth="1"/>
    <col min="16" max="16" width="34.77734375" customWidth="1"/>
    <col min="17" max="17" width="22.77734375" customWidth="1"/>
  </cols>
  <sheetData>
    <row r="1" spans="1:17" ht="31.95" customHeight="1" x14ac:dyDescent="0.3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x14ac:dyDescent="0.3">
      <c r="A2" s="12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1.95" customHeight="1" x14ac:dyDescent="0.3">
      <c r="A3" s="14" t="s">
        <v>47</v>
      </c>
      <c r="B3" s="14" t="s">
        <v>28</v>
      </c>
      <c r="C3" s="14" t="s">
        <v>48</v>
      </c>
      <c r="D3" s="14" t="s">
        <v>49</v>
      </c>
      <c r="E3" s="14" t="s">
        <v>50</v>
      </c>
      <c r="F3" s="14" t="s">
        <v>51</v>
      </c>
      <c r="G3" s="14" t="s">
        <v>0</v>
      </c>
      <c r="H3" s="14" t="s">
        <v>2</v>
      </c>
      <c r="I3" s="14" t="s">
        <v>3</v>
      </c>
      <c r="J3" s="14" t="s">
        <v>52</v>
      </c>
      <c r="K3" s="14" t="s">
        <v>5</v>
      </c>
      <c r="L3" s="14" t="s">
        <v>53</v>
      </c>
      <c r="M3" s="14" t="s">
        <v>54</v>
      </c>
      <c r="N3" s="14" t="s">
        <v>55</v>
      </c>
      <c r="O3" s="14" t="s">
        <v>35</v>
      </c>
      <c r="P3" s="14" t="s">
        <v>56</v>
      </c>
      <c r="Q3" s="14" t="s">
        <v>37</v>
      </c>
    </row>
    <row r="4" spans="1:17" ht="28.8" x14ac:dyDescent="0.3">
      <c r="A4" s="17" t="s">
        <v>57</v>
      </c>
      <c r="B4" s="17" t="s">
        <v>38</v>
      </c>
      <c r="C4" s="21" t="str">
        <f>IF(B4="","",IFERROR(INDEX(Clientes!$B$4:$B$203,MATCH(B4,Clientes!$A$4:$A$203,0)),"Cliente não encontrado"))</f>
        <v>Cliente Teste</v>
      </c>
      <c r="D4" s="18">
        <v>46236.166666666664</v>
      </c>
      <c r="E4" s="22">
        <v>100000</v>
      </c>
      <c r="F4" s="23">
        <v>0.12</v>
      </c>
      <c r="G4" s="26">
        <v>24</v>
      </c>
      <c r="H4" s="22">
        <v>0</v>
      </c>
      <c r="I4" s="22">
        <v>0</v>
      </c>
      <c r="J4" s="24">
        <f>IF(OR(E4="",F4="",G4=""),"",(1+F4)^(1/12)-1)</f>
        <v>9.4887929345830457E-3</v>
      </c>
      <c r="K4" s="25">
        <f>IF(OR(E4&lt;=0,G4&lt;=0),"",-PMT(J4,G4,E4))</f>
        <v>4678.7507300082125</v>
      </c>
      <c r="L4" s="25">
        <f>IF(K4="","",K4+I4)</f>
        <v>4678.7507300082125</v>
      </c>
      <c r="M4" s="25">
        <f>IF(L4="","",L4*G4+H4)</f>
        <v>112290.0175201971</v>
      </c>
      <c r="N4" s="25">
        <f>IF(K4="","",K4*G4-E4)</f>
        <v>12290.0175201971</v>
      </c>
      <c r="O4" s="17" t="s">
        <v>44</v>
      </c>
      <c r="P4" s="20" t="s">
        <v>58</v>
      </c>
      <c r="Q4" s="27" t="str">
        <f>IF(A4="","",IF(COUNTIF($A$4:$A$203,A4)&gt;1,"ID duplicado",IF(COUNTIF(Clientes!$A$4:$A$203,B4)=0,"Cliente não encontrado",IF(OR(E4&lt;=0,G4&lt;=0,F4&lt;0),"Revisar condições","OK"))))</f>
        <v>OK</v>
      </c>
    </row>
    <row r="5" spans="1:17" ht="28.8" x14ac:dyDescent="0.3">
      <c r="A5" s="17" t="s">
        <v>72</v>
      </c>
      <c r="B5" s="17" t="s">
        <v>70</v>
      </c>
      <c r="C5" s="21" t="str">
        <f>IF(B5="","",IFERROR(INDEX(Clientes!$B$4:$B$203,MATCH(B5,Clientes!$A$4:$A$203,0)),"Cliente não encontrado"))</f>
        <v>Teste 1</v>
      </c>
      <c r="D5" s="18">
        <v>46236.166666666664</v>
      </c>
      <c r="E5" s="22">
        <v>1000</v>
      </c>
      <c r="F5" s="23">
        <v>7.916100448255996</v>
      </c>
      <c r="G5" s="26">
        <v>10</v>
      </c>
      <c r="H5" s="22">
        <v>0</v>
      </c>
      <c r="I5" s="22">
        <v>0</v>
      </c>
      <c r="J5" s="24">
        <f>IF(OR(E5="",F5="",G5=""),"",(1+F5)^(1/12)-1)</f>
        <v>0.19999999999999996</v>
      </c>
      <c r="K5" s="25">
        <f>IF(OR(E5&lt;=0,G5&lt;=0),"",-PMT(J5,G5,E5))</f>
        <v>238.52275688285911</v>
      </c>
      <c r="L5" s="25">
        <f>IF(K5="","",K5+I5)</f>
        <v>238.52275688285911</v>
      </c>
      <c r="M5" s="25">
        <f>IF(L5="","",L5*G5+H5)</f>
        <v>2385.2275688285913</v>
      </c>
      <c r="N5" s="25">
        <f>IF(K5="","",K5*G5-E5)</f>
        <v>1385.2275688285913</v>
      </c>
      <c r="O5" s="17" t="s">
        <v>44</v>
      </c>
      <c r="P5" s="20" t="s">
        <v>73</v>
      </c>
      <c r="Q5" s="27" t="str">
        <f>IF(A5="","",IF(COUNTIF($A$4:$A$203,A5)&gt;1,"ID duplicado",IF(COUNTIF(Clientes!$A$4:$A$203,B5)=0,"Cliente não encontrado",IF(OR(E5&lt;=0,G5&lt;=0,F5&lt;0),"Revisar condições","OK"))))</f>
        <v>OK</v>
      </c>
    </row>
    <row r="6" spans="1:17" x14ac:dyDescent="0.3">
      <c r="A6" s="17"/>
      <c r="B6" s="17"/>
      <c r="C6" s="21" t="str">
        <f>IF(B6="","",IFERROR(INDEX(Clientes!$B$4:$B$203,MATCH(B6,Clientes!$A$4:$A$203,0)),"Cliente não encontrado"))</f>
        <v/>
      </c>
      <c r="D6" s="18"/>
      <c r="E6" s="22"/>
      <c r="F6" s="23"/>
      <c r="G6" s="26"/>
      <c r="H6" s="22"/>
      <c r="I6" s="22"/>
      <c r="J6" s="24" t="str">
        <f>IF(OR(E6="",F6="",G6=""),"",(1+F6)^(1/12)-1)</f>
        <v/>
      </c>
      <c r="K6" s="25" t="str">
        <f>IF(OR(E6&lt;=0,G6&lt;=0),"",-PMT(J6,G6,E6))</f>
        <v/>
      </c>
      <c r="L6" s="25" t="str">
        <f>IF(K6="","",K6+I6)</f>
        <v/>
      </c>
      <c r="M6" s="25" t="str">
        <f>IF(L6="","",L6*G6+H6)</f>
        <v/>
      </c>
      <c r="N6" s="25" t="str">
        <f>IF(K6="","",K6*G6-E6)</f>
        <v/>
      </c>
      <c r="O6" s="17"/>
      <c r="P6" s="20"/>
      <c r="Q6" s="27" t="str">
        <f>IF(A6="","",IF(COUNTIF($A$4:$A$203,A6)&gt;1,"ID duplicado",IF(COUNTIF(Clientes!$A$4:$A$203,B6)=0,"Cliente não encontrado",IF(OR(E6&lt;=0,G6&lt;=0,F6&lt;0),"Revisar condições","OK"))))</f>
        <v/>
      </c>
    </row>
    <row r="7" spans="1:17" x14ac:dyDescent="0.3">
      <c r="A7" s="17"/>
      <c r="B7" s="17"/>
      <c r="C7" s="21" t="str">
        <f>IF(B7="","",IFERROR(INDEX(Clientes!$B$4:$B$203,MATCH(B7,Clientes!$A$4:$A$203,0)),"Cliente não encontrado"))</f>
        <v/>
      </c>
      <c r="D7" s="18"/>
      <c r="E7" s="22"/>
      <c r="F7" s="23"/>
      <c r="G7" s="26"/>
      <c r="H7" s="22"/>
      <c r="I7" s="22"/>
      <c r="J7" s="24" t="str">
        <f>IF(OR(E7="",F7="",G7=""),"",(1+F7)^(1/12)-1)</f>
        <v/>
      </c>
      <c r="K7" s="25" t="str">
        <f>IF(OR(E7&lt;=0,G7&lt;=0),"",-PMT(J7,G7,E7))</f>
        <v/>
      </c>
      <c r="L7" s="25" t="str">
        <f>IF(K7="","",K7+I7)</f>
        <v/>
      </c>
      <c r="M7" s="25" t="str">
        <f>IF(L7="","",L7*G7+H7)</f>
        <v/>
      </c>
      <c r="N7" s="25" t="str">
        <f>IF(K7="","",K7*G7-E7)</f>
        <v/>
      </c>
      <c r="O7" s="17"/>
      <c r="P7" s="20"/>
      <c r="Q7" s="27" t="str">
        <f>IF(A7="","",IF(COUNTIF($A$4:$A$203,A7)&gt;1,"ID duplicado",IF(COUNTIF(Clientes!$A$4:$A$203,B7)=0,"Cliente não encontrado",IF(OR(E7&lt;=0,G7&lt;=0,F7&lt;0),"Revisar condições","OK"))))</f>
        <v/>
      </c>
    </row>
    <row r="8" spans="1:17" x14ac:dyDescent="0.3">
      <c r="A8" s="17"/>
      <c r="B8" s="17"/>
      <c r="C8" s="21" t="str">
        <f>IF(B8="","",IFERROR(INDEX(Clientes!$B$4:$B$203,MATCH(B8,Clientes!$A$4:$A$203,0)),"Cliente não encontrado"))</f>
        <v/>
      </c>
      <c r="D8" s="18"/>
      <c r="E8" s="22"/>
      <c r="F8" s="23"/>
      <c r="G8" s="26"/>
      <c r="H8" s="22"/>
      <c r="I8" s="22"/>
      <c r="J8" s="24" t="str">
        <f>IF(OR(E8="",F8="",G8=""),"",(1+F8)^(1/12)-1)</f>
        <v/>
      </c>
      <c r="K8" s="25" t="str">
        <f>IF(OR(E8&lt;=0,G8&lt;=0),"",-PMT(J8,G8,E8))</f>
        <v/>
      </c>
      <c r="L8" s="25" t="str">
        <f>IF(K8="","",K8+I8)</f>
        <v/>
      </c>
      <c r="M8" s="25" t="str">
        <f>IF(L8="","",L8*G8+H8)</f>
        <v/>
      </c>
      <c r="N8" s="25" t="str">
        <f>IF(K8="","",K8*G8-E8)</f>
        <v/>
      </c>
      <c r="O8" s="17"/>
      <c r="P8" s="20"/>
      <c r="Q8" s="27" t="str">
        <f>IF(A8="","",IF(COUNTIF($A$4:$A$203,A8)&gt;1,"ID duplicado",IF(COUNTIF(Clientes!$A$4:$A$203,B8)=0,"Cliente não encontrado",IF(OR(E8&lt;=0,G8&lt;=0,F8&lt;0),"Revisar condições","OK"))))</f>
        <v/>
      </c>
    </row>
    <row r="9" spans="1:17" x14ac:dyDescent="0.3">
      <c r="A9" s="17"/>
      <c r="B9" s="17"/>
      <c r="C9" s="21" t="str">
        <f>IF(B9="","",IFERROR(INDEX(Clientes!$B$4:$B$203,MATCH(B9,Clientes!$A$4:$A$203,0)),"Cliente não encontrado"))</f>
        <v/>
      </c>
      <c r="D9" s="18"/>
      <c r="E9" s="22"/>
      <c r="F9" s="23"/>
      <c r="G9" s="26"/>
      <c r="H9" s="22"/>
      <c r="I9" s="22"/>
      <c r="J9" s="24" t="str">
        <f>IF(OR(E9="",F9="",G9=""),"",(1+F9)^(1/12)-1)</f>
        <v/>
      </c>
      <c r="K9" s="25" t="str">
        <f>IF(OR(E9&lt;=0,G9&lt;=0),"",-PMT(J9,G9,E9))</f>
        <v/>
      </c>
      <c r="L9" s="25" t="str">
        <f>IF(K9="","",K9+I9)</f>
        <v/>
      </c>
      <c r="M9" s="25" t="str">
        <f>IF(L9="","",L9*G9+H9)</f>
        <v/>
      </c>
      <c r="N9" s="25" t="str">
        <f>IF(K9="","",K9*G9-E9)</f>
        <v/>
      </c>
      <c r="O9" s="17"/>
      <c r="P9" s="20"/>
      <c r="Q9" s="27" t="str">
        <f>IF(A9="","",IF(COUNTIF($A$4:$A$203,A9)&gt;1,"ID duplicado",IF(COUNTIF(Clientes!$A$4:$A$203,B9)=0,"Cliente não encontrado",IF(OR(E9&lt;=0,G9&lt;=0,F9&lt;0),"Revisar condições","OK"))))</f>
        <v/>
      </c>
    </row>
    <row r="10" spans="1:17" x14ac:dyDescent="0.3">
      <c r="A10" s="17"/>
      <c r="B10" s="17"/>
      <c r="C10" s="21" t="str">
        <f>IF(B10="","",IFERROR(INDEX(Clientes!$B$4:$B$203,MATCH(B10,Clientes!$A$4:$A$203,0)),"Cliente não encontrado"))</f>
        <v/>
      </c>
      <c r="D10" s="18"/>
      <c r="E10" s="22"/>
      <c r="F10" s="23"/>
      <c r="G10" s="26"/>
      <c r="H10" s="22"/>
      <c r="I10" s="22"/>
      <c r="J10" s="24" t="str">
        <f>IF(OR(E10="",F10="",G10=""),"",(1+F10)^(1/12)-1)</f>
        <v/>
      </c>
      <c r="K10" s="25" t="str">
        <f>IF(OR(E10&lt;=0,G10&lt;=0),"",-PMT(J10,G10,E10))</f>
        <v/>
      </c>
      <c r="L10" s="25" t="str">
        <f>IF(K10="","",K10+I10)</f>
        <v/>
      </c>
      <c r="M10" s="25" t="str">
        <f>IF(L10="","",L10*G10+H10)</f>
        <v/>
      </c>
      <c r="N10" s="25" t="str">
        <f>IF(K10="","",K10*G10-E10)</f>
        <v/>
      </c>
      <c r="O10" s="17"/>
      <c r="P10" s="20"/>
      <c r="Q10" s="27" t="str">
        <f>IF(A10="","",IF(COUNTIF($A$4:$A$203,A10)&gt;1,"ID duplicado",IF(COUNTIF(Clientes!$A$4:$A$203,B10)=0,"Cliente não encontrado",IF(OR(E10&lt;=0,G10&lt;=0,F10&lt;0),"Revisar condições","OK"))))</f>
        <v/>
      </c>
    </row>
    <row r="11" spans="1:17" x14ac:dyDescent="0.3">
      <c r="A11" s="17"/>
      <c r="B11" s="17"/>
      <c r="C11" s="21" t="str">
        <f>IF(B11="","",IFERROR(INDEX(Clientes!$B$4:$B$203,MATCH(B11,Clientes!$A$4:$A$203,0)),"Cliente não encontrado"))</f>
        <v/>
      </c>
      <c r="D11" s="18"/>
      <c r="E11" s="22"/>
      <c r="F11" s="23"/>
      <c r="G11" s="26"/>
      <c r="H11" s="22"/>
      <c r="I11" s="22"/>
      <c r="J11" s="24" t="str">
        <f>IF(OR(E11="",F11="",G11=""),"",(1+F11)^(1/12)-1)</f>
        <v/>
      </c>
      <c r="K11" s="25" t="str">
        <f>IF(OR(E11&lt;=0,G11&lt;=0),"",-PMT(J11,G11,E11))</f>
        <v/>
      </c>
      <c r="L11" s="25" t="str">
        <f>IF(K11="","",K11+I11)</f>
        <v/>
      </c>
      <c r="M11" s="25" t="str">
        <f>IF(L11="","",L11*G11+H11)</f>
        <v/>
      </c>
      <c r="N11" s="25" t="str">
        <f>IF(K11="","",K11*G11-E11)</f>
        <v/>
      </c>
      <c r="O11" s="17"/>
      <c r="P11" s="20"/>
      <c r="Q11" s="27" t="str">
        <f>IF(A11="","",IF(COUNTIF($A$4:$A$203,A11)&gt;1,"ID duplicado",IF(COUNTIF(Clientes!$A$4:$A$203,B11)=0,"Cliente não encontrado",IF(OR(E11&lt;=0,G11&lt;=0,F11&lt;0),"Revisar condições","OK"))))</f>
        <v/>
      </c>
    </row>
    <row r="12" spans="1:17" x14ac:dyDescent="0.3">
      <c r="A12" s="17"/>
      <c r="B12" s="17"/>
      <c r="C12" s="21" t="str">
        <f>IF(B12="","",IFERROR(INDEX(Clientes!$B$4:$B$203,MATCH(B12,Clientes!$A$4:$A$203,0)),"Cliente não encontrado"))</f>
        <v/>
      </c>
      <c r="D12" s="18"/>
      <c r="E12" s="22"/>
      <c r="F12" s="23"/>
      <c r="G12" s="26"/>
      <c r="H12" s="22"/>
      <c r="I12" s="22"/>
      <c r="J12" s="24" t="str">
        <f>IF(OR(E12="",F12="",G12=""),"",(1+F12)^(1/12)-1)</f>
        <v/>
      </c>
      <c r="K12" s="25" t="str">
        <f>IF(OR(E12&lt;=0,G12&lt;=0),"",-PMT(J12,G12,E12))</f>
        <v/>
      </c>
      <c r="L12" s="25" t="str">
        <f>IF(K12="","",K12+I12)</f>
        <v/>
      </c>
      <c r="M12" s="25" t="str">
        <f>IF(L12="","",L12*G12+H12)</f>
        <v/>
      </c>
      <c r="N12" s="25" t="str">
        <f>IF(K12="","",K12*G12-E12)</f>
        <v/>
      </c>
      <c r="O12" s="17"/>
      <c r="P12" s="20"/>
      <c r="Q12" s="27" t="str">
        <f>IF(A12="","",IF(COUNTIF($A$4:$A$203,A12)&gt;1,"ID duplicado",IF(COUNTIF(Clientes!$A$4:$A$203,B12)=0,"Cliente não encontrado",IF(OR(E12&lt;=0,G12&lt;=0,F12&lt;0),"Revisar condições","OK"))))</f>
        <v/>
      </c>
    </row>
    <row r="13" spans="1:17" x14ac:dyDescent="0.3">
      <c r="A13" s="17"/>
      <c r="B13" s="17"/>
      <c r="C13" s="21" t="str">
        <f>IF(B13="","",IFERROR(INDEX(Clientes!$B$4:$B$203,MATCH(B13,Clientes!$A$4:$A$203,0)),"Cliente não encontrado"))</f>
        <v/>
      </c>
      <c r="D13" s="18"/>
      <c r="E13" s="22"/>
      <c r="F13" s="23"/>
      <c r="G13" s="26"/>
      <c r="H13" s="22"/>
      <c r="I13" s="22"/>
      <c r="J13" s="24" t="str">
        <f>IF(OR(E13="",F13="",G13=""),"",(1+F13)^(1/12)-1)</f>
        <v/>
      </c>
      <c r="K13" s="25" t="str">
        <f>IF(OR(E13&lt;=0,G13&lt;=0),"",-PMT(J13,G13,E13))</f>
        <v/>
      </c>
      <c r="L13" s="25" t="str">
        <f>IF(K13="","",K13+I13)</f>
        <v/>
      </c>
      <c r="M13" s="25" t="str">
        <f>IF(L13="","",L13*G13+H13)</f>
        <v/>
      </c>
      <c r="N13" s="25" t="str">
        <f>IF(K13="","",K13*G13-E13)</f>
        <v/>
      </c>
      <c r="O13" s="17"/>
      <c r="P13" s="20"/>
      <c r="Q13" s="27" t="str">
        <f>IF(A13="","",IF(COUNTIF($A$4:$A$203,A13)&gt;1,"ID duplicado",IF(COUNTIF(Clientes!$A$4:$A$203,B13)=0,"Cliente não encontrado",IF(OR(E13&lt;=0,G13&lt;=0,F13&lt;0),"Revisar condições","OK"))))</f>
        <v/>
      </c>
    </row>
    <row r="14" spans="1:17" x14ac:dyDescent="0.3">
      <c r="A14" s="17"/>
      <c r="B14" s="17"/>
      <c r="C14" s="21" t="str">
        <f>IF(B14="","",IFERROR(INDEX(Clientes!$B$4:$B$203,MATCH(B14,Clientes!$A$4:$A$203,0)),"Cliente não encontrado"))</f>
        <v/>
      </c>
      <c r="D14" s="18"/>
      <c r="E14" s="22"/>
      <c r="F14" s="23"/>
      <c r="G14" s="26"/>
      <c r="H14" s="22"/>
      <c r="I14" s="22"/>
      <c r="J14" s="24" t="str">
        <f>IF(OR(E14="",F14="",G14=""),"",(1+F14)^(1/12)-1)</f>
        <v/>
      </c>
      <c r="K14" s="25" t="str">
        <f>IF(OR(E14&lt;=0,G14&lt;=0),"",-PMT(J14,G14,E14))</f>
        <v/>
      </c>
      <c r="L14" s="25" t="str">
        <f>IF(K14="","",K14+I14)</f>
        <v/>
      </c>
      <c r="M14" s="25" t="str">
        <f>IF(L14="","",L14*G14+H14)</f>
        <v/>
      </c>
      <c r="N14" s="25" t="str">
        <f>IF(K14="","",K14*G14-E14)</f>
        <v/>
      </c>
      <c r="O14" s="17"/>
      <c r="P14" s="20"/>
      <c r="Q14" s="27" t="str">
        <f>IF(A14="","",IF(COUNTIF($A$4:$A$203,A14)&gt;1,"ID duplicado",IF(COUNTIF(Clientes!$A$4:$A$203,B14)=0,"Cliente não encontrado",IF(OR(E14&lt;=0,G14&lt;=0,F14&lt;0),"Revisar condições","OK"))))</f>
        <v/>
      </c>
    </row>
    <row r="15" spans="1:17" x14ac:dyDescent="0.3">
      <c r="A15" s="17"/>
      <c r="B15" s="17"/>
      <c r="C15" s="21" t="str">
        <f>IF(B15="","",IFERROR(INDEX(Clientes!$B$4:$B$203,MATCH(B15,Clientes!$A$4:$A$203,0)),"Cliente não encontrado"))</f>
        <v/>
      </c>
      <c r="D15" s="18"/>
      <c r="E15" s="22"/>
      <c r="F15" s="23"/>
      <c r="G15" s="26"/>
      <c r="H15" s="22"/>
      <c r="I15" s="22"/>
      <c r="J15" s="24" t="str">
        <f>IF(OR(E15="",F15="",G15=""),"",(1+F15)^(1/12)-1)</f>
        <v/>
      </c>
      <c r="K15" s="25" t="str">
        <f>IF(OR(E15&lt;=0,G15&lt;=0),"",-PMT(J15,G15,E15))</f>
        <v/>
      </c>
      <c r="L15" s="25" t="str">
        <f>IF(K15="","",K15+I15)</f>
        <v/>
      </c>
      <c r="M15" s="25" t="str">
        <f>IF(L15="","",L15*G15+H15)</f>
        <v/>
      </c>
      <c r="N15" s="25" t="str">
        <f>IF(K15="","",K15*G15-E15)</f>
        <v/>
      </c>
      <c r="O15" s="17"/>
      <c r="P15" s="20"/>
      <c r="Q15" s="27" t="str">
        <f>IF(A15="","",IF(COUNTIF($A$4:$A$203,A15)&gt;1,"ID duplicado",IF(COUNTIF(Clientes!$A$4:$A$203,B15)=0,"Cliente não encontrado",IF(OR(E15&lt;=0,G15&lt;=0,F15&lt;0),"Revisar condições","OK"))))</f>
        <v/>
      </c>
    </row>
    <row r="16" spans="1:17" x14ac:dyDescent="0.3">
      <c r="A16" s="17"/>
      <c r="B16" s="17"/>
      <c r="C16" s="21" t="str">
        <f>IF(B16="","",IFERROR(INDEX(Clientes!$B$4:$B$203,MATCH(B16,Clientes!$A$4:$A$203,0)),"Cliente não encontrado"))</f>
        <v/>
      </c>
      <c r="D16" s="18"/>
      <c r="E16" s="22"/>
      <c r="F16" s="23"/>
      <c r="G16" s="26"/>
      <c r="H16" s="22"/>
      <c r="I16" s="22"/>
      <c r="J16" s="24" t="str">
        <f>IF(OR(E16="",F16="",G16=""),"",(1+F16)^(1/12)-1)</f>
        <v/>
      </c>
      <c r="K16" s="25" t="str">
        <f>IF(OR(E16&lt;=0,G16&lt;=0),"",-PMT(J16,G16,E16))</f>
        <v/>
      </c>
      <c r="L16" s="25" t="str">
        <f>IF(K16="","",K16+I16)</f>
        <v/>
      </c>
      <c r="M16" s="25" t="str">
        <f>IF(L16="","",L16*G16+H16)</f>
        <v/>
      </c>
      <c r="N16" s="25" t="str">
        <f>IF(K16="","",K16*G16-E16)</f>
        <v/>
      </c>
      <c r="O16" s="17"/>
      <c r="P16" s="20"/>
      <c r="Q16" s="27" t="str">
        <f>IF(A16="","",IF(COUNTIF($A$4:$A$203,A16)&gt;1,"ID duplicado",IF(COUNTIF(Clientes!$A$4:$A$203,B16)=0,"Cliente não encontrado",IF(OR(E16&lt;=0,G16&lt;=0,F16&lt;0),"Revisar condições","OK"))))</f>
        <v/>
      </c>
    </row>
    <row r="17" spans="1:17" x14ac:dyDescent="0.3">
      <c r="A17" s="17"/>
      <c r="B17" s="17"/>
      <c r="C17" s="21" t="str">
        <f>IF(B17="","",IFERROR(INDEX(Clientes!$B$4:$B$203,MATCH(B17,Clientes!$A$4:$A$203,0)),"Cliente não encontrado"))</f>
        <v/>
      </c>
      <c r="D17" s="18"/>
      <c r="E17" s="22"/>
      <c r="F17" s="23"/>
      <c r="G17" s="26"/>
      <c r="H17" s="22"/>
      <c r="I17" s="22"/>
      <c r="J17" s="24" t="str">
        <f>IF(OR(E17="",F17="",G17=""),"",(1+F17)^(1/12)-1)</f>
        <v/>
      </c>
      <c r="K17" s="25" t="str">
        <f>IF(OR(E17&lt;=0,G17&lt;=0),"",-PMT(J17,G17,E17))</f>
        <v/>
      </c>
      <c r="L17" s="25" t="str">
        <f>IF(K17="","",K17+I17)</f>
        <v/>
      </c>
      <c r="M17" s="25" t="str">
        <f>IF(L17="","",L17*G17+H17)</f>
        <v/>
      </c>
      <c r="N17" s="25" t="str">
        <f>IF(K17="","",K17*G17-E17)</f>
        <v/>
      </c>
      <c r="O17" s="17"/>
      <c r="P17" s="20"/>
      <c r="Q17" s="27" t="str">
        <f>IF(A17="","",IF(COUNTIF($A$4:$A$203,A17)&gt;1,"ID duplicado",IF(COUNTIF(Clientes!$A$4:$A$203,B17)=0,"Cliente não encontrado",IF(OR(E17&lt;=0,G17&lt;=0,F17&lt;0),"Revisar condições","OK"))))</f>
        <v/>
      </c>
    </row>
    <row r="18" spans="1:17" x14ac:dyDescent="0.3">
      <c r="A18" s="17"/>
      <c r="B18" s="17"/>
      <c r="C18" s="21" t="str">
        <f>IF(B18="","",IFERROR(INDEX(Clientes!$B$4:$B$203,MATCH(B18,Clientes!$A$4:$A$203,0)),"Cliente não encontrado"))</f>
        <v/>
      </c>
      <c r="D18" s="18"/>
      <c r="E18" s="22"/>
      <c r="F18" s="23"/>
      <c r="G18" s="26"/>
      <c r="H18" s="22"/>
      <c r="I18" s="22"/>
      <c r="J18" s="24" t="str">
        <f>IF(OR(E18="",F18="",G18=""),"",(1+F18)^(1/12)-1)</f>
        <v/>
      </c>
      <c r="K18" s="25" t="str">
        <f>IF(OR(E18&lt;=0,G18&lt;=0),"",-PMT(J18,G18,E18))</f>
        <v/>
      </c>
      <c r="L18" s="25" t="str">
        <f>IF(K18="","",K18+I18)</f>
        <v/>
      </c>
      <c r="M18" s="25" t="str">
        <f>IF(L18="","",L18*G18+H18)</f>
        <v/>
      </c>
      <c r="N18" s="25" t="str">
        <f>IF(K18="","",K18*G18-E18)</f>
        <v/>
      </c>
      <c r="O18" s="17"/>
      <c r="P18" s="20"/>
      <c r="Q18" s="27" t="str">
        <f>IF(A18="","",IF(COUNTIF($A$4:$A$203,A18)&gt;1,"ID duplicado",IF(COUNTIF(Clientes!$A$4:$A$203,B18)=0,"Cliente não encontrado",IF(OR(E18&lt;=0,G18&lt;=0,F18&lt;0),"Revisar condições","OK"))))</f>
        <v/>
      </c>
    </row>
    <row r="19" spans="1:17" x14ac:dyDescent="0.3">
      <c r="A19" s="17"/>
      <c r="B19" s="17"/>
      <c r="C19" s="21" t="str">
        <f>IF(B19="","",IFERROR(INDEX(Clientes!$B$4:$B$203,MATCH(B19,Clientes!$A$4:$A$203,0)),"Cliente não encontrado"))</f>
        <v/>
      </c>
      <c r="D19" s="18"/>
      <c r="E19" s="22"/>
      <c r="F19" s="23"/>
      <c r="G19" s="26"/>
      <c r="H19" s="22"/>
      <c r="I19" s="22"/>
      <c r="J19" s="24" t="str">
        <f>IF(OR(E19="",F19="",G19=""),"",(1+F19)^(1/12)-1)</f>
        <v/>
      </c>
      <c r="K19" s="25" t="str">
        <f>IF(OR(E19&lt;=0,G19&lt;=0),"",-PMT(J19,G19,E19))</f>
        <v/>
      </c>
      <c r="L19" s="25" t="str">
        <f>IF(K19="","",K19+I19)</f>
        <v/>
      </c>
      <c r="M19" s="25" t="str">
        <f>IF(L19="","",L19*G19+H19)</f>
        <v/>
      </c>
      <c r="N19" s="25" t="str">
        <f>IF(K19="","",K19*G19-E19)</f>
        <v/>
      </c>
      <c r="O19" s="17"/>
      <c r="P19" s="20"/>
      <c r="Q19" s="27" t="str">
        <f>IF(A19="","",IF(COUNTIF($A$4:$A$203,A19)&gt;1,"ID duplicado",IF(COUNTIF(Clientes!$A$4:$A$203,B19)=0,"Cliente não encontrado",IF(OR(E19&lt;=0,G19&lt;=0,F19&lt;0),"Revisar condições","OK"))))</f>
        <v/>
      </c>
    </row>
    <row r="20" spans="1:17" x14ac:dyDescent="0.3">
      <c r="A20" s="17"/>
      <c r="B20" s="17"/>
      <c r="C20" s="21" t="str">
        <f>IF(B20="","",IFERROR(INDEX(Clientes!$B$4:$B$203,MATCH(B20,Clientes!$A$4:$A$203,0)),"Cliente não encontrado"))</f>
        <v/>
      </c>
      <c r="D20" s="18"/>
      <c r="E20" s="22"/>
      <c r="F20" s="23"/>
      <c r="G20" s="26"/>
      <c r="H20" s="22"/>
      <c r="I20" s="22"/>
      <c r="J20" s="24" t="str">
        <f>IF(OR(E20="",F20="",G20=""),"",(1+F20)^(1/12)-1)</f>
        <v/>
      </c>
      <c r="K20" s="25" t="str">
        <f>IF(OR(E20&lt;=0,G20&lt;=0),"",-PMT(J20,G20,E20))</f>
        <v/>
      </c>
      <c r="L20" s="25" t="str">
        <f>IF(K20="","",K20+I20)</f>
        <v/>
      </c>
      <c r="M20" s="25" t="str">
        <f>IF(L20="","",L20*G20+H20)</f>
        <v/>
      </c>
      <c r="N20" s="25" t="str">
        <f>IF(K20="","",K20*G20-E20)</f>
        <v/>
      </c>
      <c r="O20" s="17"/>
      <c r="P20" s="20"/>
      <c r="Q20" s="27" t="str">
        <f>IF(A20="","",IF(COUNTIF($A$4:$A$203,A20)&gt;1,"ID duplicado",IF(COUNTIF(Clientes!$A$4:$A$203,B20)=0,"Cliente não encontrado",IF(OR(E20&lt;=0,G20&lt;=0,F20&lt;0),"Revisar condições","OK"))))</f>
        <v/>
      </c>
    </row>
    <row r="21" spans="1:17" x14ac:dyDescent="0.3">
      <c r="A21" s="17"/>
      <c r="B21" s="17"/>
      <c r="C21" s="21" t="str">
        <f>IF(B21="","",IFERROR(INDEX(Clientes!$B$4:$B$203,MATCH(B21,Clientes!$A$4:$A$203,0)),"Cliente não encontrado"))</f>
        <v/>
      </c>
      <c r="D21" s="18"/>
      <c r="E21" s="22"/>
      <c r="F21" s="23"/>
      <c r="G21" s="26"/>
      <c r="H21" s="22"/>
      <c r="I21" s="22"/>
      <c r="J21" s="24" t="str">
        <f>IF(OR(E21="",F21="",G21=""),"",(1+F21)^(1/12)-1)</f>
        <v/>
      </c>
      <c r="K21" s="25" t="str">
        <f>IF(OR(E21&lt;=0,G21&lt;=0),"",-PMT(J21,G21,E21))</f>
        <v/>
      </c>
      <c r="L21" s="25" t="str">
        <f>IF(K21="","",K21+I21)</f>
        <v/>
      </c>
      <c r="M21" s="25" t="str">
        <f>IF(L21="","",L21*G21+H21)</f>
        <v/>
      </c>
      <c r="N21" s="25" t="str">
        <f>IF(K21="","",K21*G21-E21)</f>
        <v/>
      </c>
      <c r="O21" s="17"/>
      <c r="P21" s="20"/>
      <c r="Q21" s="27" t="str">
        <f>IF(A21="","",IF(COUNTIF($A$4:$A$203,A21)&gt;1,"ID duplicado",IF(COUNTIF(Clientes!$A$4:$A$203,B21)=0,"Cliente não encontrado",IF(OR(E21&lt;=0,G21&lt;=0,F21&lt;0),"Revisar condições","OK"))))</f>
        <v/>
      </c>
    </row>
    <row r="22" spans="1:17" x14ac:dyDescent="0.3">
      <c r="A22" s="17"/>
      <c r="B22" s="17"/>
      <c r="C22" s="21" t="str">
        <f>IF(B22="","",IFERROR(INDEX(Clientes!$B$4:$B$203,MATCH(B22,Clientes!$A$4:$A$203,0)),"Cliente não encontrado"))</f>
        <v/>
      </c>
      <c r="D22" s="18"/>
      <c r="E22" s="22"/>
      <c r="F22" s="23"/>
      <c r="G22" s="26"/>
      <c r="H22" s="22"/>
      <c r="I22" s="22"/>
      <c r="J22" s="24" t="str">
        <f>IF(OR(E22="",F22="",G22=""),"",(1+F22)^(1/12)-1)</f>
        <v/>
      </c>
      <c r="K22" s="25" t="str">
        <f>IF(OR(E22&lt;=0,G22&lt;=0),"",-PMT(J22,G22,E22))</f>
        <v/>
      </c>
      <c r="L22" s="25" t="str">
        <f>IF(K22="","",K22+I22)</f>
        <v/>
      </c>
      <c r="M22" s="25" t="str">
        <f>IF(L22="","",L22*G22+H22)</f>
        <v/>
      </c>
      <c r="N22" s="25" t="str">
        <f>IF(K22="","",K22*G22-E22)</f>
        <v/>
      </c>
      <c r="O22" s="17"/>
      <c r="P22" s="20"/>
      <c r="Q22" s="27" t="str">
        <f>IF(A22="","",IF(COUNTIF($A$4:$A$203,A22)&gt;1,"ID duplicado",IF(COUNTIF(Clientes!$A$4:$A$203,B22)=0,"Cliente não encontrado",IF(OR(E22&lt;=0,G22&lt;=0,F22&lt;0),"Revisar condições","OK"))))</f>
        <v/>
      </c>
    </row>
    <row r="23" spans="1:17" x14ac:dyDescent="0.3">
      <c r="A23" s="17"/>
      <c r="B23" s="17"/>
      <c r="C23" s="21" t="str">
        <f>IF(B23="","",IFERROR(INDEX(Clientes!$B$4:$B$203,MATCH(B23,Clientes!$A$4:$A$203,0)),"Cliente não encontrado"))</f>
        <v/>
      </c>
      <c r="D23" s="18"/>
      <c r="E23" s="22"/>
      <c r="F23" s="23"/>
      <c r="G23" s="26"/>
      <c r="H23" s="22"/>
      <c r="I23" s="22"/>
      <c r="J23" s="24" t="str">
        <f>IF(OR(E23="",F23="",G23=""),"",(1+F23)^(1/12)-1)</f>
        <v/>
      </c>
      <c r="K23" s="25" t="str">
        <f>IF(OR(E23&lt;=0,G23&lt;=0),"",-PMT(J23,G23,E23))</f>
        <v/>
      </c>
      <c r="L23" s="25" t="str">
        <f>IF(K23="","",K23+I23)</f>
        <v/>
      </c>
      <c r="M23" s="25" t="str">
        <f>IF(L23="","",L23*G23+H23)</f>
        <v/>
      </c>
      <c r="N23" s="25" t="str">
        <f>IF(K23="","",K23*G23-E23)</f>
        <v/>
      </c>
      <c r="O23" s="17"/>
      <c r="P23" s="20"/>
      <c r="Q23" s="27" t="str">
        <f>IF(A23="","",IF(COUNTIF($A$4:$A$203,A23)&gt;1,"ID duplicado",IF(COUNTIF(Clientes!$A$4:$A$203,B23)=0,"Cliente não encontrado",IF(OR(E23&lt;=0,G23&lt;=0,F23&lt;0),"Revisar condições","OK"))))</f>
        <v/>
      </c>
    </row>
    <row r="24" spans="1:17" x14ac:dyDescent="0.3">
      <c r="A24" s="17"/>
      <c r="B24" s="17"/>
      <c r="C24" s="21" t="str">
        <f>IF(B24="","",IFERROR(INDEX(Clientes!$B$4:$B$203,MATCH(B24,Clientes!$A$4:$A$203,0)),"Cliente não encontrado"))</f>
        <v/>
      </c>
      <c r="D24" s="18"/>
      <c r="E24" s="22"/>
      <c r="F24" s="23"/>
      <c r="G24" s="26"/>
      <c r="H24" s="22"/>
      <c r="I24" s="22"/>
      <c r="J24" s="24" t="str">
        <f>IF(OR(E24="",F24="",G24=""),"",(1+F24)^(1/12)-1)</f>
        <v/>
      </c>
      <c r="K24" s="25" t="str">
        <f>IF(OR(E24&lt;=0,G24&lt;=0),"",-PMT(J24,G24,E24))</f>
        <v/>
      </c>
      <c r="L24" s="25" t="str">
        <f>IF(K24="","",K24+I24)</f>
        <v/>
      </c>
      <c r="M24" s="25" t="str">
        <f>IF(L24="","",L24*G24+H24)</f>
        <v/>
      </c>
      <c r="N24" s="25" t="str">
        <f>IF(K24="","",K24*G24-E24)</f>
        <v/>
      </c>
      <c r="O24" s="17"/>
      <c r="P24" s="20"/>
      <c r="Q24" s="27" t="str">
        <f>IF(A24="","",IF(COUNTIF($A$4:$A$203,A24)&gt;1,"ID duplicado",IF(COUNTIF(Clientes!$A$4:$A$203,B24)=0,"Cliente não encontrado",IF(OR(E24&lt;=0,G24&lt;=0,F24&lt;0),"Revisar condições","OK"))))</f>
        <v/>
      </c>
    </row>
    <row r="25" spans="1:17" x14ac:dyDescent="0.3">
      <c r="A25" s="17"/>
      <c r="B25" s="17"/>
      <c r="C25" s="21" t="str">
        <f>IF(B25="","",IFERROR(INDEX(Clientes!$B$4:$B$203,MATCH(B25,Clientes!$A$4:$A$203,0)),"Cliente não encontrado"))</f>
        <v/>
      </c>
      <c r="D25" s="18"/>
      <c r="E25" s="22"/>
      <c r="F25" s="23"/>
      <c r="G25" s="26"/>
      <c r="H25" s="22"/>
      <c r="I25" s="22"/>
      <c r="J25" s="24" t="str">
        <f>IF(OR(E25="",F25="",G25=""),"",(1+F25)^(1/12)-1)</f>
        <v/>
      </c>
      <c r="K25" s="25" t="str">
        <f>IF(OR(E25&lt;=0,G25&lt;=0),"",-PMT(J25,G25,E25))</f>
        <v/>
      </c>
      <c r="L25" s="25" t="str">
        <f>IF(K25="","",K25+I25)</f>
        <v/>
      </c>
      <c r="M25" s="25" t="str">
        <f>IF(L25="","",L25*G25+H25)</f>
        <v/>
      </c>
      <c r="N25" s="25" t="str">
        <f>IF(K25="","",K25*G25-E25)</f>
        <v/>
      </c>
      <c r="O25" s="17"/>
      <c r="P25" s="20"/>
      <c r="Q25" s="27" t="str">
        <f>IF(A25="","",IF(COUNTIF($A$4:$A$203,A25)&gt;1,"ID duplicado",IF(COUNTIF(Clientes!$A$4:$A$203,B25)=0,"Cliente não encontrado",IF(OR(E25&lt;=0,G25&lt;=0,F25&lt;0),"Revisar condições","OK"))))</f>
        <v/>
      </c>
    </row>
    <row r="26" spans="1:17" x14ac:dyDescent="0.3">
      <c r="A26" s="17"/>
      <c r="B26" s="17"/>
      <c r="C26" s="21" t="str">
        <f>IF(B26="","",IFERROR(INDEX(Clientes!$B$4:$B$203,MATCH(B26,Clientes!$A$4:$A$203,0)),"Cliente não encontrado"))</f>
        <v/>
      </c>
      <c r="D26" s="18"/>
      <c r="E26" s="22"/>
      <c r="F26" s="23"/>
      <c r="G26" s="26"/>
      <c r="H26" s="22"/>
      <c r="I26" s="22"/>
      <c r="J26" s="24" t="str">
        <f>IF(OR(E26="",F26="",G26=""),"",(1+F26)^(1/12)-1)</f>
        <v/>
      </c>
      <c r="K26" s="25" t="str">
        <f>IF(OR(E26&lt;=0,G26&lt;=0),"",-PMT(J26,G26,E26))</f>
        <v/>
      </c>
      <c r="L26" s="25" t="str">
        <f>IF(K26="","",K26+I26)</f>
        <v/>
      </c>
      <c r="M26" s="25" t="str">
        <f>IF(L26="","",L26*G26+H26)</f>
        <v/>
      </c>
      <c r="N26" s="25" t="str">
        <f>IF(K26="","",K26*G26-E26)</f>
        <v/>
      </c>
      <c r="O26" s="17"/>
      <c r="P26" s="20"/>
      <c r="Q26" s="27" t="str">
        <f>IF(A26="","",IF(COUNTIF($A$4:$A$203,A26)&gt;1,"ID duplicado",IF(COUNTIF(Clientes!$A$4:$A$203,B26)=0,"Cliente não encontrado",IF(OR(E26&lt;=0,G26&lt;=0,F26&lt;0),"Revisar condições","OK"))))</f>
        <v/>
      </c>
    </row>
    <row r="27" spans="1:17" x14ac:dyDescent="0.3">
      <c r="A27" s="17"/>
      <c r="B27" s="17"/>
      <c r="C27" s="21" t="str">
        <f>IF(B27="","",IFERROR(INDEX(Clientes!$B$4:$B$203,MATCH(B27,Clientes!$A$4:$A$203,0)),"Cliente não encontrado"))</f>
        <v/>
      </c>
      <c r="D27" s="18"/>
      <c r="E27" s="22"/>
      <c r="F27" s="23"/>
      <c r="G27" s="26"/>
      <c r="H27" s="22"/>
      <c r="I27" s="22"/>
      <c r="J27" s="24" t="str">
        <f>IF(OR(E27="",F27="",G27=""),"",(1+F27)^(1/12)-1)</f>
        <v/>
      </c>
      <c r="K27" s="25" t="str">
        <f>IF(OR(E27&lt;=0,G27&lt;=0),"",-PMT(J27,G27,E27))</f>
        <v/>
      </c>
      <c r="L27" s="25" t="str">
        <f>IF(K27="","",K27+I27)</f>
        <v/>
      </c>
      <c r="M27" s="25" t="str">
        <f>IF(L27="","",L27*G27+H27)</f>
        <v/>
      </c>
      <c r="N27" s="25" t="str">
        <f>IF(K27="","",K27*G27-E27)</f>
        <v/>
      </c>
      <c r="O27" s="17"/>
      <c r="P27" s="20"/>
      <c r="Q27" s="27" t="str">
        <f>IF(A27="","",IF(COUNTIF($A$4:$A$203,A27)&gt;1,"ID duplicado",IF(COUNTIF(Clientes!$A$4:$A$203,B27)=0,"Cliente não encontrado",IF(OR(E27&lt;=0,G27&lt;=0,F27&lt;0),"Revisar condições","OK"))))</f>
        <v/>
      </c>
    </row>
    <row r="28" spans="1:17" x14ac:dyDescent="0.3">
      <c r="A28" s="17"/>
      <c r="B28" s="17"/>
      <c r="C28" s="21" t="str">
        <f>IF(B28="","",IFERROR(INDEX(Clientes!$B$4:$B$203,MATCH(B28,Clientes!$A$4:$A$203,0)),"Cliente não encontrado"))</f>
        <v/>
      </c>
      <c r="D28" s="18"/>
      <c r="E28" s="22"/>
      <c r="F28" s="23"/>
      <c r="G28" s="26"/>
      <c r="H28" s="22"/>
      <c r="I28" s="22"/>
      <c r="J28" s="24" t="str">
        <f>IF(OR(E28="",F28="",G28=""),"",(1+F28)^(1/12)-1)</f>
        <v/>
      </c>
      <c r="K28" s="25" t="str">
        <f>IF(OR(E28&lt;=0,G28&lt;=0),"",-PMT(J28,G28,E28))</f>
        <v/>
      </c>
      <c r="L28" s="25" t="str">
        <f>IF(K28="","",K28+I28)</f>
        <v/>
      </c>
      <c r="M28" s="25" t="str">
        <f>IF(L28="","",L28*G28+H28)</f>
        <v/>
      </c>
      <c r="N28" s="25" t="str">
        <f>IF(K28="","",K28*G28-E28)</f>
        <v/>
      </c>
      <c r="O28" s="17"/>
      <c r="P28" s="20"/>
      <c r="Q28" s="27" t="str">
        <f>IF(A28="","",IF(COUNTIF($A$4:$A$203,A28)&gt;1,"ID duplicado",IF(COUNTIF(Clientes!$A$4:$A$203,B28)=0,"Cliente não encontrado",IF(OR(E28&lt;=0,G28&lt;=0,F28&lt;0),"Revisar condições","OK"))))</f>
        <v/>
      </c>
    </row>
    <row r="29" spans="1:17" x14ac:dyDescent="0.3">
      <c r="A29" s="17"/>
      <c r="B29" s="17"/>
      <c r="C29" s="21" t="str">
        <f>IF(B29="","",IFERROR(INDEX(Clientes!$B$4:$B$203,MATCH(B29,Clientes!$A$4:$A$203,0)),"Cliente não encontrado"))</f>
        <v/>
      </c>
      <c r="D29" s="18"/>
      <c r="E29" s="22"/>
      <c r="F29" s="23"/>
      <c r="G29" s="26"/>
      <c r="H29" s="22"/>
      <c r="I29" s="22"/>
      <c r="J29" s="24" t="str">
        <f>IF(OR(E29="",F29="",G29=""),"",(1+F29)^(1/12)-1)</f>
        <v/>
      </c>
      <c r="K29" s="25" t="str">
        <f>IF(OR(E29&lt;=0,G29&lt;=0),"",-PMT(J29,G29,E29))</f>
        <v/>
      </c>
      <c r="L29" s="25" t="str">
        <f>IF(K29="","",K29+I29)</f>
        <v/>
      </c>
      <c r="M29" s="25" t="str">
        <f>IF(L29="","",L29*G29+H29)</f>
        <v/>
      </c>
      <c r="N29" s="25" t="str">
        <f>IF(K29="","",K29*G29-E29)</f>
        <v/>
      </c>
      <c r="O29" s="17"/>
      <c r="P29" s="20"/>
      <c r="Q29" s="27" t="str">
        <f>IF(A29="","",IF(COUNTIF($A$4:$A$203,A29)&gt;1,"ID duplicado",IF(COUNTIF(Clientes!$A$4:$A$203,B29)=0,"Cliente não encontrado",IF(OR(E29&lt;=0,G29&lt;=0,F29&lt;0),"Revisar condições","OK"))))</f>
        <v/>
      </c>
    </row>
    <row r="30" spans="1:17" x14ac:dyDescent="0.3">
      <c r="A30" s="17"/>
      <c r="B30" s="17"/>
      <c r="C30" s="21" t="str">
        <f>IF(B30="","",IFERROR(INDEX(Clientes!$B$4:$B$203,MATCH(B30,Clientes!$A$4:$A$203,0)),"Cliente não encontrado"))</f>
        <v/>
      </c>
      <c r="D30" s="18"/>
      <c r="E30" s="22"/>
      <c r="F30" s="23"/>
      <c r="G30" s="26"/>
      <c r="H30" s="22"/>
      <c r="I30" s="22"/>
      <c r="J30" s="24" t="str">
        <f>IF(OR(E30="",F30="",G30=""),"",(1+F30)^(1/12)-1)</f>
        <v/>
      </c>
      <c r="K30" s="25" t="str">
        <f>IF(OR(E30&lt;=0,G30&lt;=0),"",-PMT(J30,G30,E30))</f>
        <v/>
      </c>
      <c r="L30" s="25" t="str">
        <f>IF(K30="","",K30+I30)</f>
        <v/>
      </c>
      <c r="M30" s="25" t="str">
        <f>IF(L30="","",L30*G30+H30)</f>
        <v/>
      </c>
      <c r="N30" s="25" t="str">
        <f>IF(K30="","",K30*G30-E30)</f>
        <v/>
      </c>
      <c r="O30" s="17"/>
      <c r="P30" s="20"/>
      <c r="Q30" s="27" t="str">
        <f>IF(A30="","",IF(COUNTIF($A$4:$A$203,A30)&gt;1,"ID duplicado",IF(COUNTIF(Clientes!$A$4:$A$203,B30)=0,"Cliente não encontrado",IF(OR(E30&lt;=0,G30&lt;=0,F30&lt;0),"Revisar condições","OK"))))</f>
        <v/>
      </c>
    </row>
    <row r="31" spans="1:17" x14ac:dyDescent="0.3">
      <c r="A31" s="17"/>
      <c r="B31" s="17"/>
      <c r="C31" s="21" t="str">
        <f>IF(B31="","",IFERROR(INDEX(Clientes!$B$4:$B$203,MATCH(B31,Clientes!$A$4:$A$203,0)),"Cliente não encontrado"))</f>
        <v/>
      </c>
      <c r="D31" s="18"/>
      <c r="E31" s="22"/>
      <c r="F31" s="23"/>
      <c r="G31" s="26"/>
      <c r="H31" s="22"/>
      <c r="I31" s="22"/>
      <c r="J31" s="24" t="str">
        <f>IF(OR(E31="",F31="",G31=""),"",(1+F31)^(1/12)-1)</f>
        <v/>
      </c>
      <c r="K31" s="25" t="str">
        <f>IF(OR(E31&lt;=0,G31&lt;=0),"",-PMT(J31,G31,E31))</f>
        <v/>
      </c>
      <c r="L31" s="25" t="str">
        <f>IF(K31="","",K31+I31)</f>
        <v/>
      </c>
      <c r="M31" s="25" t="str">
        <f>IF(L31="","",L31*G31+H31)</f>
        <v/>
      </c>
      <c r="N31" s="25" t="str">
        <f>IF(K31="","",K31*G31-E31)</f>
        <v/>
      </c>
      <c r="O31" s="17"/>
      <c r="P31" s="20"/>
      <c r="Q31" s="27" t="str">
        <f>IF(A31="","",IF(COUNTIF($A$4:$A$203,A31)&gt;1,"ID duplicado",IF(COUNTIF(Clientes!$A$4:$A$203,B31)=0,"Cliente não encontrado",IF(OR(E31&lt;=0,G31&lt;=0,F31&lt;0),"Revisar condições","OK"))))</f>
        <v/>
      </c>
    </row>
    <row r="32" spans="1:17" x14ac:dyDescent="0.3">
      <c r="A32" s="17"/>
      <c r="B32" s="17"/>
      <c r="C32" s="21" t="str">
        <f>IF(B32="","",IFERROR(INDEX(Clientes!$B$4:$B$203,MATCH(B32,Clientes!$A$4:$A$203,0)),"Cliente não encontrado"))</f>
        <v/>
      </c>
      <c r="D32" s="18"/>
      <c r="E32" s="22"/>
      <c r="F32" s="23"/>
      <c r="G32" s="26"/>
      <c r="H32" s="22"/>
      <c r="I32" s="22"/>
      <c r="J32" s="24" t="str">
        <f>IF(OR(E32="",F32="",G32=""),"",(1+F32)^(1/12)-1)</f>
        <v/>
      </c>
      <c r="K32" s="25" t="str">
        <f>IF(OR(E32&lt;=0,G32&lt;=0),"",-PMT(J32,G32,E32))</f>
        <v/>
      </c>
      <c r="L32" s="25" t="str">
        <f>IF(K32="","",K32+I32)</f>
        <v/>
      </c>
      <c r="M32" s="25" t="str">
        <f>IF(L32="","",L32*G32+H32)</f>
        <v/>
      </c>
      <c r="N32" s="25" t="str">
        <f>IF(K32="","",K32*G32-E32)</f>
        <v/>
      </c>
      <c r="O32" s="17"/>
      <c r="P32" s="20"/>
      <c r="Q32" s="27" t="str">
        <f>IF(A32="","",IF(COUNTIF($A$4:$A$203,A32)&gt;1,"ID duplicado",IF(COUNTIF(Clientes!$A$4:$A$203,B32)=0,"Cliente não encontrado",IF(OR(E32&lt;=0,G32&lt;=0,F32&lt;0),"Revisar condições","OK"))))</f>
        <v/>
      </c>
    </row>
    <row r="33" spans="1:17" x14ac:dyDescent="0.3">
      <c r="A33" s="17"/>
      <c r="B33" s="17"/>
      <c r="C33" s="21" t="str">
        <f>IF(B33="","",IFERROR(INDEX(Clientes!$B$4:$B$203,MATCH(B33,Clientes!$A$4:$A$203,0)),"Cliente não encontrado"))</f>
        <v/>
      </c>
      <c r="D33" s="18"/>
      <c r="E33" s="22"/>
      <c r="F33" s="23"/>
      <c r="G33" s="26"/>
      <c r="H33" s="22"/>
      <c r="I33" s="22"/>
      <c r="J33" s="24" t="str">
        <f>IF(OR(E33="",F33="",G33=""),"",(1+F33)^(1/12)-1)</f>
        <v/>
      </c>
      <c r="K33" s="25" t="str">
        <f>IF(OR(E33&lt;=0,G33&lt;=0),"",-PMT(J33,G33,E33))</f>
        <v/>
      </c>
      <c r="L33" s="25" t="str">
        <f>IF(K33="","",K33+I33)</f>
        <v/>
      </c>
      <c r="M33" s="25" t="str">
        <f>IF(L33="","",L33*G33+H33)</f>
        <v/>
      </c>
      <c r="N33" s="25" t="str">
        <f>IF(K33="","",K33*G33-E33)</f>
        <v/>
      </c>
      <c r="O33" s="17"/>
      <c r="P33" s="20"/>
      <c r="Q33" s="27" t="str">
        <f>IF(A33="","",IF(COUNTIF($A$4:$A$203,A33)&gt;1,"ID duplicado",IF(COUNTIF(Clientes!$A$4:$A$203,B33)=0,"Cliente não encontrado",IF(OR(E33&lt;=0,G33&lt;=0,F33&lt;0),"Revisar condições","OK"))))</f>
        <v/>
      </c>
    </row>
    <row r="34" spans="1:17" x14ac:dyDescent="0.3">
      <c r="A34" s="17"/>
      <c r="B34" s="17"/>
      <c r="C34" s="21" t="str">
        <f>IF(B34="","",IFERROR(INDEX(Clientes!$B$4:$B$203,MATCH(B34,Clientes!$A$4:$A$203,0)),"Cliente não encontrado"))</f>
        <v/>
      </c>
      <c r="D34" s="18"/>
      <c r="E34" s="22"/>
      <c r="F34" s="23"/>
      <c r="G34" s="26"/>
      <c r="H34" s="22"/>
      <c r="I34" s="22"/>
      <c r="J34" s="24" t="str">
        <f>IF(OR(E34="",F34="",G34=""),"",(1+F34)^(1/12)-1)</f>
        <v/>
      </c>
      <c r="K34" s="25" t="str">
        <f>IF(OR(E34&lt;=0,G34&lt;=0),"",-PMT(J34,G34,E34))</f>
        <v/>
      </c>
      <c r="L34" s="25" t="str">
        <f>IF(K34="","",K34+I34)</f>
        <v/>
      </c>
      <c r="M34" s="25" t="str">
        <f>IF(L34="","",L34*G34+H34)</f>
        <v/>
      </c>
      <c r="N34" s="25" t="str">
        <f>IF(K34="","",K34*G34-E34)</f>
        <v/>
      </c>
      <c r="O34" s="17"/>
      <c r="P34" s="20"/>
      <c r="Q34" s="27" t="str">
        <f>IF(A34="","",IF(COUNTIF($A$4:$A$203,A34)&gt;1,"ID duplicado",IF(COUNTIF(Clientes!$A$4:$A$203,B34)=0,"Cliente não encontrado",IF(OR(E34&lt;=0,G34&lt;=0,F34&lt;0),"Revisar condições","OK"))))</f>
        <v/>
      </c>
    </row>
    <row r="35" spans="1:17" x14ac:dyDescent="0.3">
      <c r="A35" s="17"/>
      <c r="B35" s="17"/>
      <c r="C35" s="21" t="str">
        <f>IF(B35="","",IFERROR(INDEX(Clientes!$B$4:$B$203,MATCH(B35,Clientes!$A$4:$A$203,0)),"Cliente não encontrado"))</f>
        <v/>
      </c>
      <c r="D35" s="18"/>
      <c r="E35" s="22"/>
      <c r="F35" s="23"/>
      <c r="G35" s="26"/>
      <c r="H35" s="22"/>
      <c r="I35" s="22"/>
      <c r="J35" s="24" t="str">
        <f>IF(OR(E35="",F35="",G35=""),"",(1+F35)^(1/12)-1)</f>
        <v/>
      </c>
      <c r="K35" s="25" t="str">
        <f>IF(OR(E35&lt;=0,G35&lt;=0),"",-PMT(J35,G35,E35))</f>
        <v/>
      </c>
      <c r="L35" s="25" t="str">
        <f>IF(K35="","",K35+I35)</f>
        <v/>
      </c>
      <c r="M35" s="25" t="str">
        <f>IF(L35="","",L35*G35+H35)</f>
        <v/>
      </c>
      <c r="N35" s="25" t="str">
        <f>IF(K35="","",K35*G35-E35)</f>
        <v/>
      </c>
      <c r="O35" s="17"/>
      <c r="P35" s="20"/>
      <c r="Q35" s="27" t="str">
        <f>IF(A35="","",IF(COUNTIF($A$4:$A$203,A35)&gt;1,"ID duplicado",IF(COUNTIF(Clientes!$A$4:$A$203,B35)=0,"Cliente não encontrado",IF(OR(E35&lt;=0,G35&lt;=0,F35&lt;0),"Revisar condições","OK"))))</f>
        <v/>
      </c>
    </row>
    <row r="36" spans="1:17" x14ac:dyDescent="0.3">
      <c r="A36" s="17"/>
      <c r="B36" s="17"/>
      <c r="C36" s="21" t="str">
        <f>IF(B36="","",IFERROR(INDEX(Clientes!$B$4:$B$203,MATCH(B36,Clientes!$A$4:$A$203,0)),"Cliente não encontrado"))</f>
        <v/>
      </c>
      <c r="D36" s="18"/>
      <c r="E36" s="22"/>
      <c r="F36" s="23"/>
      <c r="G36" s="26"/>
      <c r="H36" s="22"/>
      <c r="I36" s="22"/>
      <c r="J36" s="24" t="str">
        <f>IF(OR(E36="",F36="",G36=""),"",(1+F36)^(1/12)-1)</f>
        <v/>
      </c>
      <c r="K36" s="25" t="str">
        <f>IF(OR(E36&lt;=0,G36&lt;=0),"",-PMT(J36,G36,E36))</f>
        <v/>
      </c>
      <c r="L36" s="25" t="str">
        <f>IF(K36="","",K36+I36)</f>
        <v/>
      </c>
      <c r="M36" s="25" t="str">
        <f>IF(L36="","",L36*G36+H36)</f>
        <v/>
      </c>
      <c r="N36" s="25" t="str">
        <f>IF(K36="","",K36*G36-E36)</f>
        <v/>
      </c>
      <c r="O36" s="17"/>
      <c r="P36" s="20"/>
      <c r="Q36" s="27" t="str">
        <f>IF(A36="","",IF(COUNTIF($A$4:$A$203,A36)&gt;1,"ID duplicado",IF(COUNTIF(Clientes!$A$4:$A$203,B36)=0,"Cliente não encontrado",IF(OR(E36&lt;=0,G36&lt;=0,F36&lt;0),"Revisar condições","OK"))))</f>
        <v/>
      </c>
    </row>
    <row r="37" spans="1:17" x14ac:dyDescent="0.3">
      <c r="A37" s="17"/>
      <c r="B37" s="17"/>
      <c r="C37" s="21" t="str">
        <f>IF(B37="","",IFERROR(INDEX(Clientes!$B$4:$B$203,MATCH(B37,Clientes!$A$4:$A$203,0)),"Cliente não encontrado"))</f>
        <v/>
      </c>
      <c r="D37" s="18"/>
      <c r="E37" s="22"/>
      <c r="F37" s="23"/>
      <c r="G37" s="26"/>
      <c r="H37" s="22"/>
      <c r="I37" s="22"/>
      <c r="J37" s="24" t="str">
        <f>IF(OR(E37="",F37="",G37=""),"",(1+F37)^(1/12)-1)</f>
        <v/>
      </c>
      <c r="K37" s="25" t="str">
        <f>IF(OR(E37&lt;=0,G37&lt;=0),"",-PMT(J37,G37,E37))</f>
        <v/>
      </c>
      <c r="L37" s="25" t="str">
        <f>IF(K37="","",K37+I37)</f>
        <v/>
      </c>
      <c r="M37" s="25" t="str">
        <f>IF(L37="","",L37*G37+H37)</f>
        <v/>
      </c>
      <c r="N37" s="25" t="str">
        <f>IF(K37="","",K37*G37-E37)</f>
        <v/>
      </c>
      <c r="O37" s="17"/>
      <c r="P37" s="20"/>
      <c r="Q37" s="27" t="str">
        <f>IF(A37="","",IF(COUNTIF($A$4:$A$203,A37)&gt;1,"ID duplicado",IF(COUNTIF(Clientes!$A$4:$A$203,B37)=0,"Cliente não encontrado",IF(OR(E37&lt;=0,G37&lt;=0,F37&lt;0),"Revisar condições","OK"))))</f>
        <v/>
      </c>
    </row>
    <row r="38" spans="1:17" x14ac:dyDescent="0.3">
      <c r="A38" s="17"/>
      <c r="B38" s="17"/>
      <c r="C38" s="21" t="str">
        <f>IF(B38="","",IFERROR(INDEX(Clientes!$B$4:$B$203,MATCH(B38,Clientes!$A$4:$A$203,0)),"Cliente não encontrado"))</f>
        <v/>
      </c>
      <c r="D38" s="18"/>
      <c r="E38" s="22"/>
      <c r="F38" s="23"/>
      <c r="G38" s="26"/>
      <c r="H38" s="22"/>
      <c r="I38" s="22"/>
      <c r="J38" s="24" t="str">
        <f>IF(OR(E38="",F38="",G38=""),"",(1+F38)^(1/12)-1)</f>
        <v/>
      </c>
      <c r="K38" s="25" t="str">
        <f>IF(OR(E38&lt;=0,G38&lt;=0),"",-PMT(J38,G38,E38))</f>
        <v/>
      </c>
      <c r="L38" s="25" t="str">
        <f>IF(K38="","",K38+I38)</f>
        <v/>
      </c>
      <c r="M38" s="25" t="str">
        <f>IF(L38="","",L38*G38+H38)</f>
        <v/>
      </c>
      <c r="N38" s="25" t="str">
        <f>IF(K38="","",K38*G38-E38)</f>
        <v/>
      </c>
      <c r="O38" s="17"/>
      <c r="P38" s="20"/>
      <c r="Q38" s="27" t="str">
        <f>IF(A38="","",IF(COUNTIF($A$4:$A$203,A38)&gt;1,"ID duplicado",IF(COUNTIF(Clientes!$A$4:$A$203,B38)=0,"Cliente não encontrado",IF(OR(E38&lt;=0,G38&lt;=0,F38&lt;0),"Revisar condições","OK"))))</f>
        <v/>
      </c>
    </row>
    <row r="39" spans="1:17" x14ac:dyDescent="0.3">
      <c r="A39" s="17"/>
      <c r="B39" s="17"/>
      <c r="C39" s="21" t="str">
        <f>IF(B39="","",IFERROR(INDEX(Clientes!$B$4:$B$203,MATCH(B39,Clientes!$A$4:$A$203,0)),"Cliente não encontrado"))</f>
        <v/>
      </c>
      <c r="D39" s="18"/>
      <c r="E39" s="22"/>
      <c r="F39" s="23"/>
      <c r="G39" s="26"/>
      <c r="H39" s="22"/>
      <c r="I39" s="22"/>
      <c r="J39" s="24" t="str">
        <f>IF(OR(E39="",F39="",G39=""),"",(1+F39)^(1/12)-1)</f>
        <v/>
      </c>
      <c r="K39" s="25" t="str">
        <f>IF(OR(E39&lt;=0,G39&lt;=0),"",-PMT(J39,G39,E39))</f>
        <v/>
      </c>
      <c r="L39" s="25" t="str">
        <f>IF(K39="","",K39+I39)</f>
        <v/>
      </c>
      <c r="M39" s="25" t="str">
        <f>IF(L39="","",L39*G39+H39)</f>
        <v/>
      </c>
      <c r="N39" s="25" t="str">
        <f>IF(K39="","",K39*G39-E39)</f>
        <v/>
      </c>
      <c r="O39" s="17"/>
      <c r="P39" s="20"/>
      <c r="Q39" s="27" t="str">
        <f>IF(A39="","",IF(COUNTIF($A$4:$A$203,A39)&gt;1,"ID duplicado",IF(COUNTIF(Clientes!$A$4:$A$203,B39)=0,"Cliente não encontrado",IF(OR(E39&lt;=0,G39&lt;=0,F39&lt;0),"Revisar condições","OK"))))</f>
        <v/>
      </c>
    </row>
    <row r="40" spans="1:17" x14ac:dyDescent="0.3">
      <c r="A40" s="17"/>
      <c r="B40" s="17"/>
      <c r="C40" s="21" t="str">
        <f>IF(B40="","",IFERROR(INDEX(Clientes!$B$4:$B$203,MATCH(B40,Clientes!$A$4:$A$203,0)),"Cliente não encontrado"))</f>
        <v/>
      </c>
      <c r="D40" s="18"/>
      <c r="E40" s="22"/>
      <c r="F40" s="23"/>
      <c r="G40" s="26"/>
      <c r="H40" s="22"/>
      <c r="I40" s="22"/>
      <c r="J40" s="24" t="str">
        <f>IF(OR(E40="",F40="",G40=""),"",(1+F40)^(1/12)-1)</f>
        <v/>
      </c>
      <c r="K40" s="25" t="str">
        <f>IF(OR(E40&lt;=0,G40&lt;=0),"",-PMT(J40,G40,E40))</f>
        <v/>
      </c>
      <c r="L40" s="25" t="str">
        <f>IF(K40="","",K40+I40)</f>
        <v/>
      </c>
      <c r="M40" s="25" t="str">
        <f>IF(L40="","",L40*G40+H40)</f>
        <v/>
      </c>
      <c r="N40" s="25" t="str">
        <f>IF(K40="","",K40*G40-E40)</f>
        <v/>
      </c>
      <c r="O40" s="17"/>
      <c r="P40" s="20"/>
      <c r="Q40" s="27" t="str">
        <f>IF(A40="","",IF(COUNTIF($A$4:$A$203,A40)&gt;1,"ID duplicado",IF(COUNTIF(Clientes!$A$4:$A$203,B40)=0,"Cliente não encontrado",IF(OR(E40&lt;=0,G40&lt;=0,F40&lt;0),"Revisar condições","OK"))))</f>
        <v/>
      </c>
    </row>
    <row r="41" spans="1:17" x14ac:dyDescent="0.3">
      <c r="A41" s="17"/>
      <c r="B41" s="17"/>
      <c r="C41" s="21" t="str">
        <f>IF(B41="","",IFERROR(INDEX(Clientes!$B$4:$B$203,MATCH(B41,Clientes!$A$4:$A$203,0)),"Cliente não encontrado"))</f>
        <v/>
      </c>
      <c r="D41" s="18"/>
      <c r="E41" s="22"/>
      <c r="F41" s="23"/>
      <c r="G41" s="26"/>
      <c r="H41" s="22"/>
      <c r="I41" s="22"/>
      <c r="J41" s="24" t="str">
        <f>IF(OR(E41="",F41="",G41=""),"",(1+F41)^(1/12)-1)</f>
        <v/>
      </c>
      <c r="K41" s="25" t="str">
        <f>IF(OR(E41&lt;=0,G41&lt;=0),"",-PMT(J41,G41,E41))</f>
        <v/>
      </c>
      <c r="L41" s="25" t="str">
        <f>IF(K41="","",K41+I41)</f>
        <v/>
      </c>
      <c r="M41" s="25" t="str">
        <f>IF(L41="","",L41*G41+H41)</f>
        <v/>
      </c>
      <c r="N41" s="25" t="str">
        <f>IF(K41="","",K41*G41-E41)</f>
        <v/>
      </c>
      <c r="O41" s="17"/>
      <c r="P41" s="20"/>
      <c r="Q41" s="27" t="str">
        <f>IF(A41="","",IF(COUNTIF($A$4:$A$203,A41)&gt;1,"ID duplicado",IF(COUNTIF(Clientes!$A$4:$A$203,B41)=0,"Cliente não encontrado",IF(OR(E41&lt;=0,G41&lt;=0,F41&lt;0),"Revisar condições","OK"))))</f>
        <v/>
      </c>
    </row>
    <row r="42" spans="1:17" x14ac:dyDescent="0.3">
      <c r="A42" s="17"/>
      <c r="B42" s="17"/>
      <c r="C42" s="21" t="str">
        <f>IF(B42="","",IFERROR(INDEX(Clientes!$B$4:$B$203,MATCH(B42,Clientes!$A$4:$A$203,0)),"Cliente não encontrado"))</f>
        <v/>
      </c>
      <c r="D42" s="18"/>
      <c r="E42" s="22"/>
      <c r="F42" s="23"/>
      <c r="G42" s="26"/>
      <c r="H42" s="22"/>
      <c r="I42" s="22"/>
      <c r="J42" s="24" t="str">
        <f>IF(OR(E42="",F42="",G42=""),"",(1+F42)^(1/12)-1)</f>
        <v/>
      </c>
      <c r="K42" s="25" t="str">
        <f>IF(OR(E42&lt;=0,G42&lt;=0),"",-PMT(J42,G42,E42))</f>
        <v/>
      </c>
      <c r="L42" s="25" t="str">
        <f>IF(K42="","",K42+I42)</f>
        <v/>
      </c>
      <c r="M42" s="25" t="str">
        <f>IF(L42="","",L42*G42+H42)</f>
        <v/>
      </c>
      <c r="N42" s="25" t="str">
        <f>IF(K42="","",K42*G42-E42)</f>
        <v/>
      </c>
      <c r="O42" s="17"/>
      <c r="P42" s="20"/>
      <c r="Q42" s="27" t="str">
        <f>IF(A42="","",IF(COUNTIF($A$4:$A$203,A42)&gt;1,"ID duplicado",IF(COUNTIF(Clientes!$A$4:$A$203,B42)=0,"Cliente não encontrado",IF(OR(E42&lt;=0,G42&lt;=0,F42&lt;0),"Revisar condições","OK"))))</f>
        <v/>
      </c>
    </row>
    <row r="43" spans="1:17" x14ac:dyDescent="0.3">
      <c r="A43" s="17"/>
      <c r="B43" s="17"/>
      <c r="C43" s="21" t="str">
        <f>IF(B43="","",IFERROR(INDEX(Clientes!$B$4:$B$203,MATCH(B43,Clientes!$A$4:$A$203,0)),"Cliente não encontrado"))</f>
        <v/>
      </c>
      <c r="D43" s="18"/>
      <c r="E43" s="22"/>
      <c r="F43" s="23"/>
      <c r="G43" s="26"/>
      <c r="H43" s="22"/>
      <c r="I43" s="22"/>
      <c r="J43" s="24" t="str">
        <f>IF(OR(E43="",F43="",G43=""),"",(1+F43)^(1/12)-1)</f>
        <v/>
      </c>
      <c r="K43" s="25" t="str">
        <f>IF(OR(E43&lt;=0,G43&lt;=0),"",-PMT(J43,G43,E43))</f>
        <v/>
      </c>
      <c r="L43" s="25" t="str">
        <f>IF(K43="","",K43+I43)</f>
        <v/>
      </c>
      <c r="M43" s="25" t="str">
        <f>IF(L43="","",L43*G43+H43)</f>
        <v/>
      </c>
      <c r="N43" s="25" t="str">
        <f>IF(K43="","",K43*G43-E43)</f>
        <v/>
      </c>
      <c r="O43" s="17"/>
      <c r="P43" s="20"/>
      <c r="Q43" s="27" t="str">
        <f>IF(A43="","",IF(COUNTIF($A$4:$A$203,A43)&gt;1,"ID duplicado",IF(COUNTIF(Clientes!$A$4:$A$203,B43)=0,"Cliente não encontrado",IF(OR(E43&lt;=0,G43&lt;=0,F43&lt;0),"Revisar condições","OK"))))</f>
        <v/>
      </c>
    </row>
    <row r="44" spans="1:17" x14ac:dyDescent="0.3">
      <c r="A44" s="17"/>
      <c r="B44" s="17"/>
      <c r="C44" s="21" t="str">
        <f>IF(B44="","",IFERROR(INDEX(Clientes!$B$4:$B$203,MATCH(B44,Clientes!$A$4:$A$203,0)),"Cliente não encontrado"))</f>
        <v/>
      </c>
      <c r="D44" s="18"/>
      <c r="E44" s="22"/>
      <c r="F44" s="23"/>
      <c r="G44" s="26"/>
      <c r="H44" s="22"/>
      <c r="I44" s="22"/>
      <c r="J44" s="24" t="str">
        <f>IF(OR(E44="",F44="",G44=""),"",(1+F44)^(1/12)-1)</f>
        <v/>
      </c>
      <c r="K44" s="25" t="str">
        <f>IF(OR(E44&lt;=0,G44&lt;=0),"",-PMT(J44,G44,E44))</f>
        <v/>
      </c>
      <c r="L44" s="25" t="str">
        <f>IF(K44="","",K44+I44)</f>
        <v/>
      </c>
      <c r="M44" s="25" t="str">
        <f>IF(L44="","",L44*G44+H44)</f>
        <v/>
      </c>
      <c r="N44" s="25" t="str">
        <f>IF(K44="","",K44*G44-E44)</f>
        <v/>
      </c>
      <c r="O44" s="17"/>
      <c r="P44" s="20"/>
      <c r="Q44" s="27" t="str">
        <f>IF(A44="","",IF(COUNTIF($A$4:$A$203,A44)&gt;1,"ID duplicado",IF(COUNTIF(Clientes!$A$4:$A$203,B44)=0,"Cliente não encontrado",IF(OR(E44&lt;=0,G44&lt;=0,F44&lt;0),"Revisar condições","OK"))))</f>
        <v/>
      </c>
    </row>
    <row r="45" spans="1:17" x14ac:dyDescent="0.3">
      <c r="A45" s="17"/>
      <c r="B45" s="17"/>
      <c r="C45" s="21" t="str">
        <f>IF(B45="","",IFERROR(INDEX(Clientes!$B$4:$B$203,MATCH(B45,Clientes!$A$4:$A$203,0)),"Cliente não encontrado"))</f>
        <v/>
      </c>
      <c r="D45" s="18"/>
      <c r="E45" s="22"/>
      <c r="F45" s="23"/>
      <c r="G45" s="26"/>
      <c r="H45" s="22"/>
      <c r="I45" s="22"/>
      <c r="J45" s="24" t="str">
        <f>IF(OR(E45="",F45="",G45=""),"",(1+F45)^(1/12)-1)</f>
        <v/>
      </c>
      <c r="K45" s="25" t="str">
        <f>IF(OR(E45&lt;=0,G45&lt;=0),"",-PMT(J45,G45,E45))</f>
        <v/>
      </c>
      <c r="L45" s="25" t="str">
        <f>IF(K45="","",K45+I45)</f>
        <v/>
      </c>
      <c r="M45" s="25" t="str">
        <f>IF(L45="","",L45*G45+H45)</f>
        <v/>
      </c>
      <c r="N45" s="25" t="str">
        <f>IF(K45="","",K45*G45-E45)</f>
        <v/>
      </c>
      <c r="O45" s="17"/>
      <c r="P45" s="20"/>
      <c r="Q45" s="27" t="str">
        <f>IF(A45="","",IF(COUNTIF($A$4:$A$203,A45)&gt;1,"ID duplicado",IF(COUNTIF(Clientes!$A$4:$A$203,B45)=0,"Cliente não encontrado",IF(OR(E45&lt;=0,G45&lt;=0,F45&lt;0),"Revisar condições","OK"))))</f>
        <v/>
      </c>
    </row>
    <row r="46" spans="1:17" x14ac:dyDescent="0.3">
      <c r="A46" s="17"/>
      <c r="B46" s="17"/>
      <c r="C46" s="21" t="str">
        <f>IF(B46="","",IFERROR(INDEX(Clientes!$B$4:$B$203,MATCH(B46,Clientes!$A$4:$A$203,0)),"Cliente não encontrado"))</f>
        <v/>
      </c>
      <c r="D46" s="18"/>
      <c r="E46" s="22"/>
      <c r="F46" s="23"/>
      <c r="G46" s="26"/>
      <c r="H46" s="22"/>
      <c r="I46" s="22"/>
      <c r="J46" s="24" t="str">
        <f>IF(OR(E46="",F46="",G46=""),"",(1+F46)^(1/12)-1)</f>
        <v/>
      </c>
      <c r="K46" s="25" t="str">
        <f>IF(OR(E46&lt;=0,G46&lt;=0),"",-PMT(J46,G46,E46))</f>
        <v/>
      </c>
      <c r="L46" s="25" t="str">
        <f>IF(K46="","",K46+I46)</f>
        <v/>
      </c>
      <c r="M46" s="25" t="str">
        <f>IF(L46="","",L46*G46+H46)</f>
        <v/>
      </c>
      <c r="N46" s="25" t="str">
        <f>IF(K46="","",K46*G46-E46)</f>
        <v/>
      </c>
      <c r="O46" s="17"/>
      <c r="P46" s="20"/>
      <c r="Q46" s="27" t="str">
        <f>IF(A46="","",IF(COUNTIF($A$4:$A$203,A46)&gt;1,"ID duplicado",IF(COUNTIF(Clientes!$A$4:$A$203,B46)=0,"Cliente não encontrado",IF(OR(E46&lt;=0,G46&lt;=0,F46&lt;0),"Revisar condições","OK"))))</f>
        <v/>
      </c>
    </row>
    <row r="47" spans="1:17" x14ac:dyDescent="0.3">
      <c r="A47" s="17"/>
      <c r="B47" s="17"/>
      <c r="C47" s="21" t="str">
        <f>IF(B47="","",IFERROR(INDEX(Clientes!$B$4:$B$203,MATCH(B47,Clientes!$A$4:$A$203,0)),"Cliente não encontrado"))</f>
        <v/>
      </c>
      <c r="D47" s="18"/>
      <c r="E47" s="22"/>
      <c r="F47" s="23"/>
      <c r="G47" s="26"/>
      <c r="H47" s="22"/>
      <c r="I47" s="22"/>
      <c r="J47" s="24" t="str">
        <f>IF(OR(E47="",F47="",G47=""),"",(1+F47)^(1/12)-1)</f>
        <v/>
      </c>
      <c r="K47" s="25" t="str">
        <f>IF(OR(E47&lt;=0,G47&lt;=0),"",-PMT(J47,G47,E47))</f>
        <v/>
      </c>
      <c r="L47" s="25" t="str">
        <f>IF(K47="","",K47+I47)</f>
        <v/>
      </c>
      <c r="M47" s="25" t="str">
        <f>IF(L47="","",L47*G47+H47)</f>
        <v/>
      </c>
      <c r="N47" s="25" t="str">
        <f>IF(K47="","",K47*G47-E47)</f>
        <v/>
      </c>
      <c r="O47" s="17"/>
      <c r="P47" s="20"/>
      <c r="Q47" s="27" t="str">
        <f>IF(A47="","",IF(COUNTIF($A$4:$A$203,A47)&gt;1,"ID duplicado",IF(COUNTIF(Clientes!$A$4:$A$203,B47)=0,"Cliente não encontrado",IF(OR(E47&lt;=0,G47&lt;=0,F47&lt;0),"Revisar condições","OK"))))</f>
        <v/>
      </c>
    </row>
    <row r="48" spans="1:17" x14ac:dyDescent="0.3">
      <c r="A48" s="17"/>
      <c r="B48" s="17"/>
      <c r="C48" s="21" t="str">
        <f>IF(B48="","",IFERROR(INDEX(Clientes!$B$4:$B$203,MATCH(B48,Clientes!$A$4:$A$203,0)),"Cliente não encontrado"))</f>
        <v/>
      </c>
      <c r="D48" s="18"/>
      <c r="E48" s="22"/>
      <c r="F48" s="23"/>
      <c r="G48" s="26"/>
      <c r="H48" s="22"/>
      <c r="I48" s="22"/>
      <c r="J48" s="24" t="str">
        <f>IF(OR(E48="",F48="",G48=""),"",(1+F48)^(1/12)-1)</f>
        <v/>
      </c>
      <c r="K48" s="25" t="str">
        <f>IF(OR(E48&lt;=0,G48&lt;=0),"",-PMT(J48,G48,E48))</f>
        <v/>
      </c>
      <c r="L48" s="25" t="str">
        <f>IF(K48="","",K48+I48)</f>
        <v/>
      </c>
      <c r="M48" s="25" t="str">
        <f>IF(L48="","",L48*G48+H48)</f>
        <v/>
      </c>
      <c r="N48" s="25" t="str">
        <f>IF(K48="","",K48*G48-E48)</f>
        <v/>
      </c>
      <c r="O48" s="17"/>
      <c r="P48" s="20"/>
      <c r="Q48" s="27" t="str">
        <f>IF(A48="","",IF(COUNTIF($A$4:$A$203,A48)&gt;1,"ID duplicado",IF(COUNTIF(Clientes!$A$4:$A$203,B48)=0,"Cliente não encontrado",IF(OR(E48&lt;=0,G48&lt;=0,F48&lt;0),"Revisar condições","OK"))))</f>
        <v/>
      </c>
    </row>
    <row r="49" spans="1:17" x14ac:dyDescent="0.3">
      <c r="A49" s="17"/>
      <c r="B49" s="17"/>
      <c r="C49" s="21" t="str">
        <f>IF(B49="","",IFERROR(INDEX(Clientes!$B$4:$B$203,MATCH(B49,Clientes!$A$4:$A$203,0)),"Cliente não encontrado"))</f>
        <v/>
      </c>
      <c r="D49" s="18"/>
      <c r="E49" s="22"/>
      <c r="F49" s="23"/>
      <c r="G49" s="26"/>
      <c r="H49" s="22"/>
      <c r="I49" s="22"/>
      <c r="J49" s="24" t="str">
        <f>IF(OR(E49="",F49="",G49=""),"",(1+F49)^(1/12)-1)</f>
        <v/>
      </c>
      <c r="K49" s="25" t="str">
        <f>IF(OR(E49&lt;=0,G49&lt;=0),"",-PMT(J49,G49,E49))</f>
        <v/>
      </c>
      <c r="L49" s="25" t="str">
        <f>IF(K49="","",K49+I49)</f>
        <v/>
      </c>
      <c r="M49" s="25" t="str">
        <f>IF(L49="","",L49*G49+H49)</f>
        <v/>
      </c>
      <c r="N49" s="25" t="str">
        <f>IF(K49="","",K49*G49-E49)</f>
        <v/>
      </c>
      <c r="O49" s="17"/>
      <c r="P49" s="20"/>
      <c r="Q49" s="27" t="str">
        <f>IF(A49="","",IF(COUNTIF($A$4:$A$203,A49)&gt;1,"ID duplicado",IF(COUNTIF(Clientes!$A$4:$A$203,B49)=0,"Cliente não encontrado",IF(OR(E49&lt;=0,G49&lt;=0,F49&lt;0),"Revisar condições","OK"))))</f>
        <v/>
      </c>
    </row>
    <row r="50" spans="1:17" x14ac:dyDescent="0.3">
      <c r="A50" s="17"/>
      <c r="B50" s="17"/>
      <c r="C50" s="21" t="str">
        <f>IF(B50="","",IFERROR(INDEX(Clientes!$B$4:$B$203,MATCH(B50,Clientes!$A$4:$A$203,0)),"Cliente não encontrado"))</f>
        <v/>
      </c>
      <c r="D50" s="18"/>
      <c r="E50" s="22"/>
      <c r="F50" s="23"/>
      <c r="G50" s="26"/>
      <c r="H50" s="22"/>
      <c r="I50" s="22"/>
      <c r="J50" s="24" t="str">
        <f>IF(OR(E50="",F50="",G50=""),"",(1+F50)^(1/12)-1)</f>
        <v/>
      </c>
      <c r="K50" s="25" t="str">
        <f>IF(OR(E50&lt;=0,G50&lt;=0),"",-PMT(J50,G50,E50))</f>
        <v/>
      </c>
      <c r="L50" s="25" t="str">
        <f>IF(K50="","",K50+I50)</f>
        <v/>
      </c>
      <c r="M50" s="25" t="str">
        <f>IF(L50="","",L50*G50+H50)</f>
        <v/>
      </c>
      <c r="N50" s="25" t="str">
        <f>IF(K50="","",K50*G50-E50)</f>
        <v/>
      </c>
      <c r="O50" s="17"/>
      <c r="P50" s="20"/>
      <c r="Q50" s="27" t="str">
        <f>IF(A50="","",IF(COUNTIF($A$4:$A$203,A50)&gt;1,"ID duplicado",IF(COUNTIF(Clientes!$A$4:$A$203,B50)=0,"Cliente não encontrado",IF(OR(E50&lt;=0,G50&lt;=0,F50&lt;0),"Revisar condições","OK"))))</f>
        <v/>
      </c>
    </row>
    <row r="51" spans="1:17" x14ac:dyDescent="0.3">
      <c r="A51" s="17"/>
      <c r="B51" s="17"/>
      <c r="C51" s="21" t="str">
        <f>IF(B51="","",IFERROR(INDEX(Clientes!$B$4:$B$203,MATCH(B51,Clientes!$A$4:$A$203,0)),"Cliente não encontrado"))</f>
        <v/>
      </c>
      <c r="D51" s="18"/>
      <c r="E51" s="22"/>
      <c r="F51" s="23"/>
      <c r="G51" s="26"/>
      <c r="H51" s="22"/>
      <c r="I51" s="22"/>
      <c r="J51" s="24" t="str">
        <f>IF(OR(E51="",F51="",G51=""),"",(1+F51)^(1/12)-1)</f>
        <v/>
      </c>
      <c r="K51" s="25" t="str">
        <f>IF(OR(E51&lt;=0,G51&lt;=0),"",-PMT(J51,G51,E51))</f>
        <v/>
      </c>
      <c r="L51" s="25" t="str">
        <f>IF(K51="","",K51+I51)</f>
        <v/>
      </c>
      <c r="M51" s="25" t="str">
        <f>IF(L51="","",L51*G51+H51)</f>
        <v/>
      </c>
      <c r="N51" s="25" t="str">
        <f>IF(K51="","",K51*G51-E51)</f>
        <v/>
      </c>
      <c r="O51" s="17"/>
      <c r="P51" s="20"/>
      <c r="Q51" s="27" t="str">
        <f>IF(A51="","",IF(COUNTIF($A$4:$A$203,A51)&gt;1,"ID duplicado",IF(COUNTIF(Clientes!$A$4:$A$203,B51)=0,"Cliente não encontrado",IF(OR(E51&lt;=0,G51&lt;=0,F51&lt;0),"Revisar condições","OK"))))</f>
        <v/>
      </c>
    </row>
    <row r="52" spans="1:17" x14ac:dyDescent="0.3">
      <c r="A52" s="17"/>
      <c r="B52" s="17"/>
      <c r="C52" s="21" t="str">
        <f>IF(B52="","",IFERROR(INDEX(Clientes!$B$4:$B$203,MATCH(B52,Clientes!$A$4:$A$203,0)),"Cliente não encontrado"))</f>
        <v/>
      </c>
      <c r="D52" s="18"/>
      <c r="E52" s="22"/>
      <c r="F52" s="23"/>
      <c r="G52" s="26"/>
      <c r="H52" s="22"/>
      <c r="I52" s="22"/>
      <c r="J52" s="24" t="str">
        <f>IF(OR(E52="",F52="",G52=""),"",(1+F52)^(1/12)-1)</f>
        <v/>
      </c>
      <c r="K52" s="25" t="str">
        <f>IF(OR(E52&lt;=0,G52&lt;=0),"",-PMT(J52,G52,E52))</f>
        <v/>
      </c>
      <c r="L52" s="25" t="str">
        <f>IF(K52="","",K52+I52)</f>
        <v/>
      </c>
      <c r="M52" s="25" t="str">
        <f>IF(L52="","",L52*G52+H52)</f>
        <v/>
      </c>
      <c r="N52" s="25" t="str">
        <f>IF(K52="","",K52*G52-E52)</f>
        <v/>
      </c>
      <c r="O52" s="17"/>
      <c r="P52" s="20"/>
      <c r="Q52" s="27" t="str">
        <f>IF(A52="","",IF(COUNTIF($A$4:$A$203,A52)&gt;1,"ID duplicado",IF(COUNTIF(Clientes!$A$4:$A$203,B52)=0,"Cliente não encontrado",IF(OR(E52&lt;=0,G52&lt;=0,F52&lt;0),"Revisar condições","OK"))))</f>
        <v/>
      </c>
    </row>
    <row r="53" spans="1:17" x14ac:dyDescent="0.3">
      <c r="A53" s="17"/>
      <c r="B53" s="17"/>
      <c r="C53" s="21" t="str">
        <f>IF(B53="","",IFERROR(INDEX(Clientes!$B$4:$B$203,MATCH(B53,Clientes!$A$4:$A$203,0)),"Cliente não encontrado"))</f>
        <v/>
      </c>
      <c r="D53" s="18"/>
      <c r="E53" s="22"/>
      <c r="F53" s="23"/>
      <c r="G53" s="26"/>
      <c r="H53" s="22"/>
      <c r="I53" s="22"/>
      <c r="J53" s="24" t="str">
        <f>IF(OR(E53="",F53="",G53=""),"",(1+F53)^(1/12)-1)</f>
        <v/>
      </c>
      <c r="K53" s="25" t="str">
        <f>IF(OR(E53&lt;=0,G53&lt;=0),"",-PMT(J53,G53,E53))</f>
        <v/>
      </c>
      <c r="L53" s="25" t="str">
        <f>IF(K53="","",K53+I53)</f>
        <v/>
      </c>
      <c r="M53" s="25" t="str">
        <f>IF(L53="","",L53*G53+H53)</f>
        <v/>
      </c>
      <c r="N53" s="25" t="str">
        <f>IF(K53="","",K53*G53-E53)</f>
        <v/>
      </c>
      <c r="O53" s="17"/>
      <c r="P53" s="20"/>
      <c r="Q53" s="27" t="str">
        <f>IF(A53="","",IF(COUNTIF($A$4:$A$203,A53)&gt;1,"ID duplicado",IF(COUNTIF(Clientes!$A$4:$A$203,B53)=0,"Cliente não encontrado",IF(OR(E53&lt;=0,G53&lt;=0,F53&lt;0),"Revisar condições","OK"))))</f>
        <v/>
      </c>
    </row>
    <row r="54" spans="1:17" x14ac:dyDescent="0.3">
      <c r="A54" s="17"/>
      <c r="B54" s="17"/>
      <c r="C54" s="21" t="str">
        <f>IF(B54="","",IFERROR(INDEX(Clientes!$B$4:$B$203,MATCH(B54,Clientes!$A$4:$A$203,0)),"Cliente não encontrado"))</f>
        <v/>
      </c>
      <c r="D54" s="18"/>
      <c r="E54" s="22"/>
      <c r="F54" s="23"/>
      <c r="G54" s="26"/>
      <c r="H54" s="22"/>
      <c r="I54" s="22"/>
      <c r="J54" s="24" t="str">
        <f>IF(OR(E54="",F54="",G54=""),"",(1+F54)^(1/12)-1)</f>
        <v/>
      </c>
      <c r="K54" s="25" t="str">
        <f>IF(OR(E54&lt;=0,G54&lt;=0),"",-PMT(J54,G54,E54))</f>
        <v/>
      </c>
      <c r="L54" s="25" t="str">
        <f>IF(K54="","",K54+I54)</f>
        <v/>
      </c>
      <c r="M54" s="25" t="str">
        <f>IF(L54="","",L54*G54+H54)</f>
        <v/>
      </c>
      <c r="N54" s="25" t="str">
        <f>IF(K54="","",K54*G54-E54)</f>
        <v/>
      </c>
      <c r="O54" s="17"/>
      <c r="P54" s="20"/>
      <c r="Q54" s="27" t="str">
        <f>IF(A54="","",IF(COUNTIF($A$4:$A$203,A54)&gt;1,"ID duplicado",IF(COUNTIF(Clientes!$A$4:$A$203,B54)=0,"Cliente não encontrado",IF(OR(E54&lt;=0,G54&lt;=0,F54&lt;0),"Revisar condições","OK"))))</f>
        <v/>
      </c>
    </row>
    <row r="55" spans="1:17" x14ac:dyDescent="0.3">
      <c r="A55" s="17"/>
      <c r="B55" s="17"/>
      <c r="C55" s="21" t="str">
        <f>IF(B55="","",IFERROR(INDEX(Clientes!$B$4:$B$203,MATCH(B55,Clientes!$A$4:$A$203,0)),"Cliente não encontrado"))</f>
        <v/>
      </c>
      <c r="D55" s="18"/>
      <c r="E55" s="22"/>
      <c r="F55" s="23"/>
      <c r="G55" s="26"/>
      <c r="H55" s="22"/>
      <c r="I55" s="22"/>
      <c r="J55" s="24" t="str">
        <f>IF(OR(E55="",F55="",G55=""),"",(1+F55)^(1/12)-1)</f>
        <v/>
      </c>
      <c r="K55" s="25" t="str">
        <f>IF(OR(E55&lt;=0,G55&lt;=0),"",-PMT(J55,G55,E55))</f>
        <v/>
      </c>
      <c r="L55" s="25" t="str">
        <f>IF(K55="","",K55+I55)</f>
        <v/>
      </c>
      <c r="M55" s="25" t="str">
        <f>IF(L55="","",L55*G55+H55)</f>
        <v/>
      </c>
      <c r="N55" s="25" t="str">
        <f>IF(K55="","",K55*G55-E55)</f>
        <v/>
      </c>
      <c r="O55" s="17"/>
      <c r="P55" s="20"/>
      <c r="Q55" s="27" t="str">
        <f>IF(A55="","",IF(COUNTIF($A$4:$A$203,A55)&gt;1,"ID duplicado",IF(COUNTIF(Clientes!$A$4:$A$203,B55)=0,"Cliente não encontrado",IF(OR(E55&lt;=0,G55&lt;=0,F55&lt;0),"Revisar condições","OK"))))</f>
        <v/>
      </c>
    </row>
    <row r="56" spans="1:17" x14ac:dyDescent="0.3">
      <c r="A56" s="17"/>
      <c r="B56" s="17"/>
      <c r="C56" s="21" t="str">
        <f>IF(B56="","",IFERROR(INDEX(Clientes!$B$4:$B$203,MATCH(B56,Clientes!$A$4:$A$203,0)),"Cliente não encontrado"))</f>
        <v/>
      </c>
      <c r="D56" s="18"/>
      <c r="E56" s="22"/>
      <c r="F56" s="23"/>
      <c r="G56" s="26"/>
      <c r="H56" s="22"/>
      <c r="I56" s="22"/>
      <c r="J56" s="24" t="str">
        <f>IF(OR(E56="",F56="",G56=""),"",(1+F56)^(1/12)-1)</f>
        <v/>
      </c>
      <c r="K56" s="25" t="str">
        <f>IF(OR(E56&lt;=0,G56&lt;=0),"",-PMT(J56,G56,E56))</f>
        <v/>
      </c>
      <c r="L56" s="25" t="str">
        <f>IF(K56="","",K56+I56)</f>
        <v/>
      </c>
      <c r="M56" s="25" t="str">
        <f>IF(L56="","",L56*G56+H56)</f>
        <v/>
      </c>
      <c r="N56" s="25" t="str">
        <f>IF(K56="","",K56*G56-E56)</f>
        <v/>
      </c>
      <c r="O56" s="17"/>
      <c r="P56" s="20"/>
      <c r="Q56" s="27" t="str">
        <f>IF(A56="","",IF(COUNTIF($A$4:$A$203,A56)&gt;1,"ID duplicado",IF(COUNTIF(Clientes!$A$4:$A$203,B56)=0,"Cliente não encontrado",IF(OR(E56&lt;=0,G56&lt;=0,F56&lt;0),"Revisar condições","OK"))))</f>
        <v/>
      </c>
    </row>
    <row r="57" spans="1:17" x14ac:dyDescent="0.3">
      <c r="A57" s="17"/>
      <c r="B57" s="17"/>
      <c r="C57" s="21" t="str">
        <f>IF(B57="","",IFERROR(INDEX(Clientes!$B$4:$B$203,MATCH(B57,Clientes!$A$4:$A$203,0)),"Cliente não encontrado"))</f>
        <v/>
      </c>
      <c r="D57" s="18"/>
      <c r="E57" s="22"/>
      <c r="F57" s="23"/>
      <c r="G57" s="26"/>
      <c r="H57" s="22"/>
      <c r="I57" s="22"/>
      <c r="J57" s="24" t="str">
        <f>IF(OR(E57="",F57="",G57=""),"",(1+F57)^(1/12)-1)</f>
        <v/>
      </c>
      <c r="K57" s="25" t="str">
        <f>IF(OR(E57&lt;=0,G57&lt;=0),"",-PMT(J57,G57,E57))</f>
        <v/>
      </c>
      <c r="L57" s="25" t="str">
        <f>IF(K57="","",K57+I57)</f>
        <v/>
      </c>
      <c r="M57" s="25" t="str">
        <f>IF(L57="","",L57*G57+H57)</f>
        <v/>
      </c>
      <c r="N57" s="25" t="str">
        <f>IF(K57="","",K57*G57-E57)</f>
        <v/>
      </c>
      <c r="O57" s="17"/>
      <c r="P57" s="20"/>
      <c r="Q57" s="27" t="str">
        <f>IF(A57="","",IF(COUNTIF($A$4:$A$203,A57)&gt;1,"ID duplicado",IF(COUNTIF(Clientes!$A$4:$A$203,B57)=0,"Cliente não encontrado",IF(OR(E57&lt;=0,G57&lt;=0,F57&lt;0),"Revisar condições","OK"))))</f>
        <v/>
      </c>
    </row>
    <row r="58" spans="1:17" x14ac:dyDescent="0.3">
      <c r="A58" s="17"/>
      <c r="B58" s="17"/>
      <c r="C58" s="21" t="str">
        <f>IF(B58="","",IFERROR(INDEX(Clientes!$B$4:$B$203,MATCH(B58,Clientes!$A$4:$A$203,0)),"Cliente não encontrado"))</f>
        <v/>
      </c>
      <c r="D58" s="18"/>
      <c r="E58" s="22"/>
      <c r="F58" s="23"/>
      <c r="G58" s="26"/>
      <c r="H58" s="22"/>
      <c r="I58" s="22"/>
      <c r="J58" s="24" t="str">
        <f>IF(OR(E58="",F58="",G58=""),"",(1+F58)^(1/12)-1)</f>
        <v/>
      </c>
      <c r="K58" s="25" t="str">
        <f>IF(OR(E58&lt;=0,G58&lt;=0),"",-PMT(J58,G58,E58))</f>
        <v/>
      </c>
      <c r="L58" s="25" t="str">
        <f>IF(K58="","",K58+I58)</f>
        <v/>
      </c>
      <c r="M58" s="25" t="str">
        <f>IF(L58="","",L58*G58+H58)</f>
        <v/>
      </c>
      <c r="N58" s="25" t="str">
        <f>IF(K58="","",K58*G58-E58)</f>
        <v/>
      </c>
      <c r="O58" s="17"/>
      <c r="P58" s="20"/>
      <c r="Q58" s="27" t="str">
        <f>IF(A58="","",IF(COUNTIF($A$4:$A$203,A58)&gt;1,"ID duplicado",IF(COUNTIF(Clientes!$A$4:$A$203,B58)=0,"Cliente não encontrado",IF(OR(E58&lt;=0,G58&lt;=0,F58&lt;0),"Revisar condições","OK"))))</f>
        <v/>
      </c>
    </row>
    <row r="59" spans="1:17" x14ac:dyDescent="0.3">
      <c r="A59" s="17"/>
      <c r="B59" s="17"/>
      <c r="C59" s="21" t="str">
        <f>IF(B59="","",IFERROR(INDEX(Clientes!$B$4:$B$203,MATCH(B59,Clientes!$A$4:$A$203,0)),"Cliente não encontrado"))</f>
        <v/>
      </c>
      <c r="D59" s="18"/>
      <c r="E59" s="22"/>
      <c r="F59" s="23"/>
      <c r="G59" s="26"/>
      <c r="H59" s="22"/>
      <c r="I59" s="22"/>
      <c r="J59" s="24" t="str">
        <f>IF(OR(E59="",F59="",G59=""),"",(1+F59)^(1/12)-1)</f>
        <v/>
      </c>
      <c r="K59" s="25" t="str">
        <f>IF(OR(E59&lt;=0,G59&lt;=0),"",-PMT(J59,G59,E59))</f>
        <v/>
      </c>
      <c r="L59" s="25" t="str">
        <f>IF(K59="","",K59+I59)</f>
        <v/>
      </c>
      <c r="M59" s="25" t="str">
        <f>IF(L59="","",L59*G59+H59)</f>
        <v/>
      </c>
      <c r="N59" s="25" t="str">
        <f>IF(K59="","",K59*G59-E59)</f>
        <v/>
      </c>
      <c r="O59" s="17"/>
      <c r="P59" s="20"/>
      <c r="Q59" s="27" t="str">
        <f>IF(A59="","",IF(COUNTIF($A$4:$A$203,A59)&gt;1,"ID duplicado",IF(COUNTIF(Clientes!$A$4:$A$203,B59)=0,"Cliente não encontrado",IF(OR(E59&lt;=0,G59&lt;=0,F59&lt;0),"Revisar condições","OK"))))</f>
        <v/>
      </c>
    </row>
    <row r="60" spans="1:17" x14ac:dyDescent="0.3">
      <c r="A60" s="17"/>
      <c r="B60" s="17"/>
      <c r="C60" s="21" t="str">
        <f>IF(B60="","",IFERROR(INDEX(Clientes!$B$4:$B$203,MATCH(B60,Clientes!$A$4:$A$203,0)),"Cliente não encontrado"))</f>
        <v/>
      </c>
      <c r="D60" s="18"/>
      <c r="E60" s="22"/>
      <c r="F60" s="23"/>
      <c r="G60" s="26"/>
      <c r="H60" s="22"/>
      <c r="I60" s="22"/>
      <c r="J60" s="24" t="str">
        <f>IF(OR(E60="",F60="",G60=""),"",(1+F60)^(1/12)-1)</f>
        <v/>
      </c>
      <c r="K60" s="25" t="str">
        <f>IF(OR(E60&lt;=0,G60&lt;=0),"",-PMT(J60,G60,E60))</f>
        <v/>
      </c>
      <c r="L60" s="25" t="str">
        <f>IF(K60="","",K60+I60)</f>
        <v/>
      </c>
      <c r="M60" s="25" t="str">
        <f>IF(L60="","",L60*G60+H60)</f>
        <v/>
      </c>
      <c r="N60" s="25" t="str">
        <f>IF(K60="","",K60*G60-E60)</f>
        <v/>
      </c>
      <c r="O60" s="17"/>
      <c r="P60" s="20"/>
      <c r="Q60" s="27" t="str">
        <f>IF(A60="","",IF(COUNTIF($A$4:$A$203,A60)&gt;1,"ID duplicado",IF(COUNTIF(Clientes!$A$4:$A$203,B60)=0,"Cliente não encontrado",IF(OR(E60&lt;=0,G60&lt;=0,F60&lt;0),"Revisar condições","OK"))))</f>
        <v/>
      </c>
    </row>
    <row r="61" spans="1:17" x14ac:dyDescent="0.3">
      <c r="A61" s="17"/>
      <c r="B61" s="17"/>
      <c r="C61" s="21" t="str">
        <f>IF(B61="","",IFERROR(INDEX(Clientes!$B$4:$B$203,MATCH(B61,Clientes!$A$4:$A$203,0)),"Cliente não encontrado"))</f>
        <v/>
      </c>
      <c r="D61" s="18"/>
      <c r="E61" s="22"/>
      <c r="F61" s="23"/>
      <c r="G61" s="26"/>
      <c r="H61" s="22"/>
      <c r="I61" s="22"/>
      <c r="J61" s="24" t="str">
        <f>IF(OR(E61="",F61="",G61=""),"",(1+F61)^(1/12)-1)</f>
        <v/>
      </c>
      <c r="K61" s="25" t="str">
        <f>IF(OR(E61&lt;=0,G61&lt;=0),"",-PMT(J61,G61,E61))</f>
        <v/>
      </c>
      <c r="L61" s="25" t="str">
        <f>IF(K61="","",K61+I61)</f>
        <v/>
      </c>
      <c r="M61" s="25" t="str">
        <f>IF(L61="","",L61*G61+H61)</f>
        <v/>
      </c>
      <c r="N61" s="25" t="str">
        <f>IF(K61="","",K61*G61-E61)</f>
        <v/>
      </c>
      <c r="O61" s="17"/>
      <c r="P61" s="20"/>
      <c r="Q61" s="27" t="str">
        <f>IF(A61="","",IF(COUNTIF($A$4:$A$203,A61)&gt;1,"ID duplicado",IF(COUNTIF(Clientes!$A$4:$A$203,B61)=0,"Cliente não encontrado",IF(OR(E61&lt;=0,G61&lt;=0,F61&lt;0),"Revisar condições","OK"))))</f>
        <v/>
      </c>
    </row>
    <row r="62" spans="1:17" x14ac:dyDescent="0.3">
      <c r="A62" s="17"/>
      <c r="B62" s="17"/>
      <c r="C62" s="21" t="str">
        <f>IF(B62="","",IFERROR(INDEX(Clientes!$B$4:$B$203,MATCH(B62,Clientes!$A$4:$A$203,0)),"Cliente não encontrado"))</f>
        <v/>
      </c>
      <c r="D62" s="18"/>
      <c r="E62" s="22"/>
      <c r="F62" s="23"/>
      <c r="G62" s="26"/>
      <c r="H62" s="22"/>
      <c r="I62" s="22"/>
      <c r="J62" s="24" t="str">
        <f>IF(OR(E62="",F62="",G62=""),"",(1+F62)^(1/12)-1)</f>
        <v/>
      </c>
      <c r="K62" s="25" t="str">
        <f>IF(OR(E62&lt;=0,G62&lt;=0),"",-PMT(J62,G62,E62))</f>
        <v/>
      </c>
      <c r="L62" s="25" t="str">
        <f>IF(K62="","",K62+I62)</f>
        <v/>
      </c>
      <c r="M62" s="25" t="str">
        <f>IF(L62="","",L62*G62+H62)</f>
        <v/>
      </c>
      <c r="N62" s="25" t="str">
        <f>IF(K62="","",K62*G62-E62)</f>
        <v/>
      </c>
      <c r="O62" s="17"/>
      <c r="P62" s="20"/>
      <c r="Q62" s="27" t="str">
        <f>IF(A62="","",IF(COUNTIF($A$4:$A$203,A62)&gt;1,"ID duplicado",IF(COUNTIF(Clientes!$A$4:$A$203,B62)=0,"Cliente não encontrado",IF(OR(E62&lt;=0,G62&lt;=0,F62&lt;0),"Revisar condições","OK"))))</f>
        <v/>
      </c>
    </row>
    <row r="63" spans="1:17" x14ac:dyDescent="0.3">
      <c r="A63" s="17"/>
      <c r="B63" s="17"/>
      <c r="C63" s="21" t="str">
        <f>IF(B63="","",IFERROR(INDEX(Clientes!$B$4:$B$203,MATCH(B63,Clientes!$A$4:$A$203,0)),"Cliente não encontrado"))</f>
        <v/>
      </c>
      <c r="D63" s="18"/>
      <c r="E63" s="22"/>
      <c r="F63" s="23"/>
      <c r="G63" s="26"/>
      <c r="H63" s="22"/>
      <c r="I63" s="22"/>
      <c r="J63" s="24" t="str">
        <f>IF(OR(E63="",F63="",G63=""),"",(1+F63)^(1/12)-1)</f>
        <v/>
      </c>
      <c r="K63" s="25" t="str">
        <f>IF(OR(E63&lt;=0,G63&lt;=0),"",-PMT(J63,G63,E63))</f>
        <v/>
      </c>
      <c r="L63" s="25" t="str">
        <f>IF(K63="","",K63+I63)</f>
        <v/>
      </c>
      <c r="M63" s="25" t="str">
        <f>IF(L63="","",L63*G63+H63)</f>
        <v/>
      </c>
      <c r="N63" s="25" t="str">
        <f>IF(K63="","",K63*G63-E63)</f>
        <v/>
      </c>
      <c r="O63" s="17"/>
      <c r="P63" s="20"/>
      <c r="Q63" s="27" t="str">
        <f>IF(A63="","",IF(COUNTIF($A$4:$A$203,A63)&gt;1,"ID duplicado",IF(COUNTIF(Clientes!$A$4:$A$203,B63)=0,"Cliente não encontrado",IF(OR(E63&lt;=0,G63&lt;=0,F63&lt;0),"Revisar condições","OK"))))</f>
        <v/>
      </c>
    </row>
    <row r="64" spans="1:17" x14ac:dyDescent="0.3">
      <c r="A64" s="17"/>
      <c r="B64" s="17"/>
      <c r="C64" s="21" t="str">
        <f>IF(B64="","",IFERROR(INDEX(Clientes!$B$4:$B$203,MATCH(B64,Clientes!$A$4:$A$203,0)),"Cliente não encontrado"))</f>
        <v/>
      </c>
      <c r="D64" s="18"/>
      <c r="E64" s="22"/>
      <c r="F64" s="23"/>
      <c r="G64" s="26"/>
      <c r="H64" s="22"/>
      <c r="I64" s="22"/>
      <c r="J64" s="24" t="str">
        <f>IF(OR(E64="",F64="",G64=""),"",(1+F64)^(1/12)-1)</f>
        <v/>
      </c>
      <c r="K64" s="25" t="str">
        <f>IF(OR(E64&lt;=0,G64&lt;=0),"",-PMT(J64,G64,E64))</f>
        <v/>
      </c>
      <c r="L64" s="25" t="str">
        <f>IF(K64="","",K64+I64)</f>
        <v/>
      </c>
      <c r="M64" s="25" t="str">
        <f>IF(L64="","",L64*G64+H64)</f>
        <v/>
      </c>
      <c r="N64" s="25" t="str">
        <f>IF(K64="","",K64*G64-E64)</f>
        <v/>
      </c>
      <c r="O64" s="17"/>
      <c r="P64" s="20"/>
      <c r="Q64" s="27" t="str">
        <f>IF(A64="","",IF(COUNTIF($A$4:$A$203,A64)&gt;1,"ID duplicado",IF(COUNTIF(Clientes!$A$4:$A$203,B64)=0,"Cliente não encontrado",IF(OR(E64&lt;=0,G64&lt;=0,F64&lt;0),"Revisar condições","OK"))))</f>
        <v/>
      </c>
    </row>
    <row r="65" spans="1:17" x14ac:dyDescent="0.3">
      <c r="A65" s="17"/>
      <c r="B65" s="17"/>
      <c r="C65" s="21" t="str">
        <f>IF(B65="","",IFERROR(INDEX(Clientes!$B$4:$B$203,MATCH(B65,Clientes!$A$4:$A$203,0)),"Cliente não encontrado"))</f>
        <v/>
      </c>
      <c r="D65" s="18"/>
      <c r="E65" s="22"/>
      <c r="F65" s="23"/>
      <c r="G65" s="26"/>
      <c r="H65" s="22"/>
      <c r="I65" s="22"/>
      <c r="J65" s="24" t="str">
        <f>IF(OR(E65="",F65="",G65=""),"",(1+F65)^(1/12)-1)</f>
        <v/>
      </c>
      <c r="K65" s="25" t="str">
        <f>IF(OR(E65&lt;=0,G65&lt;=0),"",-PMT(J65,G65,E65))</f>
        <v/>
      </c>
      <c r="L65" s="25" t="str">
        <f>IF(K65="","",K65+I65)</f>
        <v/>
      </c>
      <c r="M65" s="25" t="str">
        <f>IF(L65="","",L65*G65+H65)</f>
        <v/>
      </c>
      <c r="N65" s="25" t="str">
        <f>IF(K65="","",K65*G65-E65)</f>
        <v/>
      </c>
      <c r="O65" s="17"/>
      <c r="P65" s="20"/>
      <c r="Q65" s="27" t="str">
        <f>IF(A65="","",IF(COUNTIF($A$4:$A$203,A65)&gt;1,"ID duplicado",IF(COUNTIF(Clientes!$A$4:$A$203,B65)=0,"Cliente não encontrado",IF(OR(E65&lt;=0,G65&lt;=0,F65&lt;0),"Revisar condições","OK"))))</f>
        <v/>
      </c>
    </row>
    <row r="66" spans="1:17" x14ac:dyDescent="0.3">
      <c r="A66" s="17"/>
      <c r="B66" s="17"/>
      <c r="C66" s="21" t="str">
        <f>IF(B66="","",IFERROR(INDEX(Clientes!$B$4:$B$203,MATCH(B66,Clientes!$A$4:$A$203,0)),"Cliente não encontrado"))</f>
        <v/>
      </c>
      <c r="D66" s="18"/>
      <c r="E66" s="22"/>
      <c r="F66" s="23"/>
      <c r="G66" s="26"/>
      <c r="H66" s="22"/>
      <c r="I66" s="22"/>
      <c r="J66" s="24" t="str">
        <f>IF(OR(E66="",F66="",G66=""),"",(1+F66)^(1/12)-1)</f>
        <v/>
      </c>
      <c r="K66" s="25" t="str">
        <f>IF(OR(E66&lt;=0,G66&lt;=0),"",-PMT(J66,G66,E66))</f>
        <v/>
      </c>
      <c r="L66" s="25" t="str">
        <f>IF(K66="","",K66+I66)</f>
        <v/>
      </c>
      <c r="M66" s="25" t="str">
        <f>IF(L66="","",L66*G66+H66)</f>
        <v/>
      </c>
      <c r="N66" s="25" t="str">
        <f>IF(K66="","",K66*G66-E66)</f>
        <v/>
      </c>
      <c r="O66" s="17"/>
      <c r="P66" s="20"/>
      <c r="Q66" s="27" t="str">
        <f>IF(A66="","",IF(COUNTIF($A$4:$A$203,A66)&gt;1,"ID duplicado",IF(COUNTIF(Clientes!$A$4:$A$203,B66)=0,"Cliente não encontrado",IF(OR(E66&lt;=0,G66&lt;=0,F66&lt;0),"Revisar condições","OK"))))</f>
        <v/>
      </c>
    </row>
    <row r="67" spans="1:17" x14ac:dyDescent="0.3">
      <c r="A67" s="17"/>
      <c r="B67" s="17"/>
      <c r="C67" s="21" t="str">
        <f>IF(B67="","",IFERROR(INDEX(Clientes!$B$4:$B$203,MATCH(B67,Clientes!$A$4:$A$203,0)),"Cliente não encontrado"))</f>
        <v/>
      </c>
      <c r="D67" s="18"/>
      <c r="E67" s="22"/>
      <c r="F67" s="23"/>
      <c r="G67" s="26"/>
      <c r="H67" s="22"/>
      <c r="I67" s="22"/>
      <c r="J67" s="24" t="str">
        <f>IF(OR(E67="",F67="",G67=""),"",(1+F67)^(1/12)-1)</f>
        <v/>
      </c>
      <c r="K67" s="25" t="str">
        <f>IF(OR(E67&lt;=0,G67&lt;=0),"",-PMT(J67,G67,E67))</f>
        <v/>
      </c>
      <c r="L67" s="25" t="str">
        <f>IF(K67="","",K67+I67)</f>
        <v/>
      </c>
      <c r="M67" s="25" t="str">
        <f>IF(L67="","",L67*G67+H67)</f>
        <v/>
      </c>
      <c r="N67" s="25" t="str">
        <f>IF(K67="","",K67*G67-E67)</f>
        <v/>
      </c>
      <c r="O67" s="17"/>
      <c r="P67" s="20"/>
      <c r="Q67" s="27" t="str">
        <f>IF(A67="","",IF(COUNTIF($A$4:$A$203,A67)&gt;1,"ID duplicado",IF(COUNTIF(Clientes!$A$4:$A$203,B67)=0,"Cliente não encontrado",IF(OR(E67&lt;=0,G67&lt;=0,F67&lt;0),"Revisar condições","OK"))))</f>
        <v/>
      </c>
    </row>
    <row r="68" spans="1:17" x14ac:dyDescent="0.3">
      <c r="A68" s="17"/>
      <c r="B68" s="17"/>
      <c r="C68" s="21" t="str">
        <f>IF(B68="","",IFERROR(INDEX(Clientes!$B$4:$B$203,MATCH(B68,Clientes!$A$4:$A$203,0)),"Cliente não encontrado"))</f>
        <v/>
      </c>
      <c r="D68" s="18"/>
      <c r="E68" s="22"/>
      <c r="F68" s="23"/>
      <c r="G68" s="26"/>
      <c r="H68" s="22"/>
      <c r="I68" s="22"/>
      <c r="J68" s="24" t="str">
        <f>IF(OR(E68="",F68="",G68=""),"",(1+F68)^(1/12)-1)</f>
        <v/>
      </c>
      <c r="K68" s="25" t="str">
        <f>IF(OR(E68&lt;=0,G68&lt;=0),"",-PMT(J68,G68,E68))</f>
        <v/>
      </c>
      <c r="L68" s="25" t="str">
        <f>IF(K68="","",K68+I68)</f>
        <v/>
      </c>
      <c r="M68" s="25" t="str">
        <f>IF(L68="","",L68*G68+H68)</f>
        <v/>
      </c>
      <c r="N68" s="25" t="str">
        <f>IF(K68="","",K68*G68-E68)</f>
        <v/>
      </c>
      <c r="O68" s="17"/>
      <c r="P68" s="20"/>
      <c r="Q68" s="27" t="str">
        <f>IF(A68="","",IF(COUNTIF($A$4:$A$203,A68)&gt;1,"ID duplicado",IF(COUNTIF(Clientes!$A$4:$A$203,B68)=0,"Cliente não encontrado",IF(OR(E68&lt;=0,G68&lt;=0,F68&lt;0),"Revisar condições","OK"))))</f>
        <v/>
      </c>
    </row>
    <row r="69" spans="1:17" x14ac:dyDescent="0.3">
      <c r="A69" s="17"/>
      <c r="B69" s="17"/>
      <c r="C69" s="21" t="str">
        <f>IF(B69="","",IFERROR(INDEX(Clientes!$B$4:$B$203,MATCH(B69,Clientes!$A$4:$A$203,0)),"Cliente não encontrado"))</f>
        <v/>
      </c>
      <c r="D69" s="18"/>
      <c r="E69" s="22"/>
      <c r="F69" s="23"/>
      <c r="G69" s="26"/>
      <c r="H69" s="22"/>
      <c r="I69" s="22"/>
      <c r="J69" s="24" t="str">
        <f>IF(OR(E69="",F69="",G69=""),"",(1+F69)^(1/12)-1)</f>
        <v/>
      </c>
      <c r="K69" s="25" t="str">
        <f>IF(OR(E69&lt;=0,G69&lt;=0),"",-PMT(J69,G69,E69))</f>
        <v/>
      </c>
      <c r="L69" s="25" t="str">
        <f>IF(K69="","",K69+I69)</f>
        <v/>
      </c>
      <c r="M69" s="25" t="str">
        <f>IF(L69="","",L69*G69+H69)</f>
        <v/>
      </c>
      <c r="N69" s="25" t="str">
        <f>IF(K69="","",K69*G69-E69)</f>
        <v/>
      </c>
      <c r="O69" s="17"/>
      <c r="P69" s="20"/>
      <c r="Q69" s="27" t="str">
        <f>IF(A69="","",IF(COUNTIF($A$4:$A$203,A69)&gt;1,"ID duplicado",IF(COUNTIF(Clientes!$A$4:$A$203,B69)=0,"Cliente não encontrado",IF(OR(E69&lt;=0,G69&lt;=0,F69&lt;0),"Revisar condições","OK"))))</f>
        <v/>
      </c>
    </row>
    <row r="70" spans="1:17" x14ac:dyDescent="0.3">
      <c r="A70" s="17"/>
      <c r="B70" s="17"/>
      <c r="C70" s="21" t="str">
        <f>IF(B70="","",IFERROR(INDEX(Clientes!$B$4:$B$203,MATCH(B70,Clientes!$A$4:$A$203,0)),"Cliente não encontrado"))</f>
        <v/>
      </c>
      <c r="D70" s="18"/>
      <c r="E70" s="22"/>
      <c r="F70" s="23"/>
      <c r="G70" s="26"/>
      <c r="H70" s="22"/>
      <c r="I70" s="22"/>
      <c r="J70" s="24" t="str">
        <f>IF(OR(E70="",F70="",G70=""),"",(1+F70)^(1/12)-1)</f>
        <v/>
      </c>
      <c r="K70" s="25" t="str">
        <f>IF(OR(E70&lt;=0,G70&lt;=0),"",-PMT(J70,G70,E70))</f>
        <v/>
      </c>
      <c r="L70" s="25" t="str">
        <f>IF(K70="","",K70+I70)</f>
        <v/>
      </c>
      <c r="M70" s="25" t="str">
        <f>IF(L70="","",L70*G70+H70)</f>
        <v/>
      </c>
      <c r="N70" s="25" t="str">
        <f>IF(K70="","",K70*G70-E70)</f>
        <v/>
      </c>
      <c r="O70" s="17"/>
      <c r="P70" s="20"/>
      <c r="Q70" s="27" t="str">
        <f>IF(A70="","",IF(COUNTIF($A$4:$A$203,A70)&gt;1,"ID duplicado",IF(COUNTIF(Clientes!$A$4:$A$203,B70)=0,"Cliente não encontrado",IF(OR(E70&lt;=0,G70&lt;=0,F70&lt;0),"Revisar condições","OK"))))</f>
        <v/>
      </c>
    </row>
    <row r="71" spans="1:17" x14ac:dyDescent="0.3">
      <c r="A71" s="17"/>
      <c r="B71" s="17"/>
      <c r="C71" s="21" t="str">
        <f>IF(B71="","",IFERROR(INDEX(Clientes!$B$4:$B$203,MATCH(B71,Clientes!$A$4:$A$203,0)),"Cliente não encontrado"))</f>
        <v/>
      </c>
      <c r="D71" s="18"/>
      <c r="E71" s="22"/>
      <c r="F71" s="23"/>
      <c r="G71" s="26"/>
      <c r="H71" s="22"/>
      <c r="I71" s="22"/>
      <c r="J71" s="24" t="str">
        <f>IF(OR(E71="",F71="",G71=""),"",(1+F71)^(1/12)-1)</f>
        <v/>
      </c>
      <c r="K71" s="25" t="str">
        <f>IF(OR(E71&lt;=0,G71&lt;=0),"",-PMT(J71,G71,E71))</f>
        <v/>
      </c>
      <c r="L71" s="25" t="str">
        <f>IF(K71="","",K71+I71)</f>
        <v/>
      </c>
      <c r="M71" s="25" t="str">
        <f>IF(L71="","",L71*G71+H71)</f>
        <v/>
      </c>
      <c r="N71" s="25" t="str">
        <f>IF(K71="","",K71*G71-E71)</f>
        <v/>
      </c>
      <c r="O71" s="17"/>
      <c r="P71" s="20"/>
      <c r="Q71" s="27" t="str">
        <f>IF(A71="","",IF(COUNTIF($A$4:$A$203,A71)&gt;1,"ID duplicado",IF(COUNTIF(Clientes!$A$4:$A$203,B71)=0,"Cliente não encontrado",IF(OR(E71&lt;=0,G71&lt;=0,F71&lt;0),"Revisar condições","OK"))))</f>
        <v/>
      </c>
    </row>
    <row r="72" spans="1:17" x14ac:dyDescent="0.3">
      <c r="A72" s="17"/>
      <c r="B72" s="17"/>
      <c r="C72" s="21" t="str">
        <f>IF(B72="","",IFERROR(INDEX(Clientes!$B$4:$B$203,MATCH(B72,Clientes!$A$4:$A$203,0)),"Cliente não encontrado"))</f>
        <v/>
      </c>
      <c r="D72" s="18"/>
      <c r="E72" s="22"/>
      <c r="F72" s="23"/>
      <c r="G72" s="26"/>
      <c r="H72" s="22"/>
      <c r="I72" s="22"/>
      <c r="J72" s="24" t="str">
        <f>IF(OR(E72="",F72="",G72=""),"",(1+F72)^(1/12)-1)</f>
        <v/>
      </c>
      <c r="K72" s="25" t="str">
        <f>IF(OR(E72&lt;=0,G72&lt;=0),"",-PMT(J72,G72,E72))</f>
        <v/>
      </c>
      <c r="L72" s="25" t="str">
        <f>IF(K72="","",K72+I72)</f>
        <v/>
      </c>
      <c r="M72" s="25" t="str">
        <f>IF(L72="","",L72*G72+H72)</f>
        <v/>
      </c>
      <c r="N72" s="25" t="str">
        <f>IF(K72="","",K72*G72-E72)</f>
        <v/>
      </c>
      <c r="O72" s="17"/>
      <c r="P72" s="20"/>
      <c r="Q72" s="27" t="str">
        <f>IF(A72="","",IF(COUNTIF($A$4:$A$203,A72)&gt;1,"ID duplicado",IF(COUNTIF(Clientes!$A$4:$A$203,B72)=0,"Cliente não encontrado",IF(OR(E72&lt;=0,G72&lt;=0,F72&lt;0),"Revisar condições","OK"))))</f>
        <v/>
      </c>
    </row>
    <row r="73" spans="1:17" x14ac:dyDescent="0.3">
      <c r="A73" s="17"/>
      <c r="B73" s="17"/>
      <c r="C73" s="21" t="str">
        <f>IF(B73="","",IFERROR(INDEX(Clientes!$B$4:$B$203,MATCH(B73,Clientes!$A$4:$A$203,0)),"Cliente não encontrado"))</f>
        <v/>
      </c>
      <c r="D73" s="18"/>
      <c r="E73" s="22"/>
      <c r="F73" s="23"/>
      <c r="G73" s="26"/>
      <c r="H73" s="22"/>
      <c r="I73" s="22"/>
      <c r="J73" s="24" t="str">
        <f>IF(OR(E73="",F73="",G73=""),"",(1+F73)^(1/12)-1)</f>
        <v/>
      </c>
      <c r="K73" s="25" t="str">
        <f>IF(OR(E73&lt;=0,G73&lt;=0),"",-PMT(J73,G73,E73))</f>
        <v/>
      </c>
      <c r="L73" s="25" t="str">
        <f>IF(K73="","",K73+I73)</f>
        <v/>
      </c>
      <c r="M73" s="25" t="str">
        <f>IF(L73="","",L73*G73+H73)</f>
        <v/>
      </c>
      <c r="N73" s="25" t="str">
        <f>IF(K73="","",K73*G73-E73)</f>
        <v/>
      </c>
      <c r="O73" s="17"/>
      <c r="P73" s="20"/>
      <c r="Q73" s="27" t="str">
        <f>IF(A73="","",IF(COUNTIF($A$4:$A$203,A73)&gt;1,"ID duplicado",IF(COUNTIF(Clientes!$A$4:$A$203,B73)=0,"Cliente não encontrado",IF(OR(E73&lt;=0,G73&lt;=0,F73&lt;0),"Revisar condições","OK"))))</f>
        <v/>
      </c>
    </row>
    <row r="74" spans="1:17" x14ac:dyDescent="0.3">
      <c r="A74" s="17"/>
      <c r="B74" s="17"/>
      <c r="C74" s="21" t="str">
        <f>IF(B74="","",IFERROR(INDEX(Clientes!$B$4:$B$203,MATCH(B74,Clientes!$A$4:$A$203,0)),"Cliente não encontrado"))</f>
        <v/>
      </c>
      <c r="D74" s="18"/>
      <c r="E74" s="22"/>
      <c r="F74" s="23"/>
      <c r="G74" s="26"/>
      <c r="H74" s="22"/>
      <c r="I74" s="22"/>
      <c r="J74" s="24" t="str">
        <f>IF(OR(E74="",F74="",G74=""),"",(1+F74)^(1/12)-1)</f>
        <v/>
      </c>
      <c r="K74" s="25" t="str">
        <f>IF(OR(E74&lt;=0,G74&lt;=0),"",-PMT(J74,G74,E74))</f>
        <v/>
      </c>
      <c r="L74" s="25" t="str">
        <f>IF(K74="","",K74+I74)</f>
        <v/>
      </c>
      <c r="M74" s="25" t="str">
        <f>IF(L74="","",L74*G74+H74)</f>
        <v/>
      </c>
      <c r="N74" s="25" t="str">
        <f>IF(K74="","",K74*G74-E74)</f>
        <v/>
      </c>
      <c r="O74" s="17"/>
      <c r="P74" s="20"/>
      <c r="Q74" s="27" t="str">
        <f>IF(A74="","",IF(COUNTIF($A$4:$A$203,A74)&gt;1,"ID duplicado",IF(COUNTIF(Clientes!$A$4:$A$203,B74)=0,"Cliente não encontrado",IF(OR(E74&lt;=0,G74&lt;=0,F74&lt;0),"Revisar condições","OK"))))</f>
        <v/>
      </c>
    </row>
    <row r="75" spans="1:17" x14ac:dyDescent="0.3">
      <c r="A75" s="17"/>
      <c r="B75" s="17"/>
      <c r="C75" s="21" t="str">
        <f>IF(B75="","",IFERROR(INDEX(Clientes!$B$4:$B$203,MATCH(B75,Clientes!$A$4:$A$203,0)),"Cliente não encontrado"))</f>
        <v/>
      </c>
      <c r="D75" s="18"/>
      <c r="E75" s="22"/>
      <c r="F75" s="23"/>
      <c r="G75" s="26"/>
      <c r="H75" s="22"/>
      <c r="I75" s="22"/>
      <c r="J75" s="24" t="str">
        <f>IF(OR(E75="",F75="",G75=""),"",(1+F75)^(1/12)-1)</f>
        <v/>
      </c>
      <c r="K75" s="25" t="str">
        <f>IF(OR(E75&lt;=0,G75&lt;=0),"",-PMT(J75,G75,E75))</f>
        <v/>
      </c>
      <c r="L75" s="25" t="str">
        <f>IF(K75="","",K75+I75)</f>
        <v/>
      </c>
      <c r="M75" s="25" t="str">
        <f>IF(L75="","",L75*G75+H75)</f>
        <v/>
      </c>
      <c r="N75" s="25" t="str">
        <f>IF(K75="","",K75*G75-E75)</f>
        <v/>
      </c>
      <c r="O75" s="17"/>
      <c r="P75" s="20"/>
      <c r="Q75" s="27" t="str">
        <f>IF(A75="","",IF(COUNTIF($A$4:$A$203,A75)&gt;1,"ID duplicado",IF(COUNTIF(Clientes!$A$4:$A$203,B75)=0,"Cliente não encontrado",IF(OR(E75&lt;=0,G75&lt;=0,F75&lt;0),"Revisar condições","OK"))))</f>
        <v/>
      </c>
    </row>
    <row r="76" spans="1:17" x14ac:dyDescent="0.3">
      <c r="A76" s="17"/>
      <c r="B76" s="17"/>
      <c r="C76" s="21" t="str">
        <f>IF(B76="","",IFERROR(INDEX(Clientes!$B$4:$B$203,MATCH(B76,Clientes!$A$4:$A$203,0)),"Cliente não encontrado"))</f>
        <v/>
      </c>
      <c r="D76" s="18"/>
      <c r="E76" s="22"/>
      <c r="F76" s="23"/>
      <c r="G76" s="26"/>
      <c r="H76" s="22"/>
      <c r="I76" s="22"/>
      <c r="J76" s="24" t="str">
        <f>IF(OR(E76="",F76="",G76=""),"",(1+F76)^(1/12)-1)</f>
        <v/>
      </c>
      <c r="K76" s="25" t="str">
        <f>IF(OR(E76&lt;=0,G76&lt;=0),"",-PMT(J76,G76,E76))</f>
        <v/>
      </c>
      <c r="L76" s="25" t="str">
        <f>IF(K76="","",K76+I76)</f>
        <v/>
      </c>
      <c r="M76" s="25" t="str">
        <f>IF(L76="","",L76*G76+H76)</f>
        <v/>
      </c>
      <c r="N76" s="25" t="str">
        <f>IF(K76="","",K76*G76-E76)</f>
        <v/>
      </c>
      <c r="O76" s="17"/>
      <c r="P76" s="20"/>
      <c r="Q76" s="27" t="str">
        <f>IF(A76="","",IF(COUNTIF($A$4:$A$203,A76)&gt;1,"ID duplicado",IF(COUNTIF(Clientes!$A$4:$A$203,B76)=0,"Cliente não encontrado",IF(OR(E76&lt;=0,G76&lt;=0,F76&lt;0),"Revisar condições","OK"))))</f>
        <v/>
      </c>
    </row>
    <row r="77" spans="1:17" x14ac:dyDescent="0.3">
      <c r="A77" s="17"/>
      <c r="B77" s="17"/>
      <c r="C77" s="21" t="str">
        <f>IF(B77="","",IFERROR(INDEX(Clientes!$B$4:$B$203,MATCH(B77,Clientes!$A$4:$A$203,0)),"Cliente não encontrado"))</f>
        <v/>
      </c>
      <c r="D77" s="18"/>
      <c r="E77" s="22"/>
      <c r="F77" s="23"/>
      <c r="G77" s="26"/>
      <c r="H77" s="22"/>
      <c r="I77" s="22"/>
      <c r="J77" s="24" t="str">
        <f>IF(OR(E77="",F77="",G77=""),"",(1+F77)^(1/12)-1)</f>
        <v/>
      </c>
      <c r="K77" s="25" t="str">
        <f>IF(OR(E77&lt;=0,G77&lt;=0),"",-PMT(J77,G77,E77))</f>
        <v/>
      </c>
      <c r="L77" s="25" t="str">
        <f>IF(K77="","",K77+I77)</f>
        <v/>
      </c>
      <c r="M77" s="25" t="str">
        <f>IF(L77="","",L77*G77+H77)</f>
        <v/>
      </c>
      <c r="N77" s="25" t="str">
        <f>IF(K77="","",K77*G77-E77)</f>
        <v/>
      </c>
      <c r="O77" s="17"/>
      <c r="P77" s="20"/>
      <c r="Q77" s="27" t="str">
        <f>IF(A77="","",IF(COUNTIF($A$4:$A$203,A77)&gt;1,"ID duplicado",IF(COUNTIF(Clientes!$A$4:$A$203,B77)=0,"Cliente não encontrado",IF(OR(E77&lt;=0,G77&lt;=0,F77&lt;0),"Revisar condições","OK"))))</f>
        <v/>
      </c>
    </row>
    <row r="78" spans="1:17" x14ac:dyDescent="0.3">
      <c r="A78" s="17"/>
      <c r="B78" s="17"/>
      <c r="C78" s="21" t="str">
        <f>IF(B78="","",IFERROR(INDEX(Clientes!$B$4:$B$203,MATCH(B78,Clientes!$A$4:$A$203,0)),"Cliente não encontrado"))</f>
        <v/>
      </c>
      <c r="D78" s="18"/>
      <c r="E78" s="22"/>
      <c r="F78" s="23"/>
      <c r="G78" s="26"/>
      <c r="H78" s="22"/>
      <c r="I78" s="22"/>
      <c r="J78" s="24" t="str">
        <f>IF(OR(E78="",F78="",G78=""),"",(1+F78)^(1/12)-1)</f>
        <v/>
      </c>
      <c r="K78" s="25" t="str">
        <f>IF(OR(E78&lt;=0,G78&lt;=0),"",-PMT(J78,G78,E78))</f>
        <v/>
      </c>
      <c r="L78" s="25" t="str">
        <f>IF(K78="","",K78+I78)</f>
        <v/>
      </c>
      <c r="M78" s="25" t="str">
        <f>IF(L78="","",L78*G78+H78)</f>
        <v/>
      </c>
      <c r="N78" s="25" t="str">
        <f>IF(K78="","",K78*G78-E78)</f>
        <v/>
      </c>
      <c r="O78" s="17"/>
      <c r="P78" s="20"/>
      <c r="Q78" s="27" t="str">
        <f>IF(A78="","",IF(COUNTIF($A$4:$A$203,A78)&gt;1,"ID duplicado",IF(COUNTIF(Clientes!$A$4:$A$203,B78)=0,"Cliente não encontrado",IF(OR(E78&lt;=0,G78&lt;=0,F78&lt;0),"Revisar condições","OK"))))</f>
        <v/>
      </c>
    </row>
    <row r="79" spans="1:17" x14ac:dyDescent="0.3">
      <c r="A79" s="17"/>
      <c r="B79" s="17"/>
      <c r="C79" s="21" t="str">
        <f>IF(B79="","",IFERROR(INDEX(Clientes!$B$4:$B$203,MATCH(B79,Clientes!$A$4:$A$203,0)),"Cliente não encontrado"))</f>
        <v/>
      </c>
      <c r="D79" s="18"/>
      <c r="E79" s="22"/>
      <c r="F79" s="23"/>
      <c r="G79" s="26"/>
      <c r="H79" s="22"/>
      <c r="I79" s="22"/>
      <c r="J79" s="24" t="str">
        <f>IF(OR(E79="",F79="",G79=""),"",(1+F79)^(1/12)-1)</f>
        <v/>
      </c>
      <c r="K79" s="25" t="str">
        <f>IF(OR(E79&lt;=0,G79&lt;=0),"",-PMT(J79,G79,E79))</f>
        <v/>
      </c>
      <c r="L79" s="25" t="str">
        <f>IF(K79="","",K79+I79)</f>
        <v/>
      </c>
      <c r="M79" s="25" t="str">
        <f>IF(L79="","",L79*G79+H79)</f>
        <v/>
      </c>
      <c r="N79" s="25" t="str">
        <f>IF(K79="","",K79*G79-E79)</f>
        <v/>
      </c>
      <c r="O79" s="17"/>
      <c r="P79" s="20"/>
      <c r="Q79" s="27" t="str">
        <f>IF(A79="","",IF(COUNTIF($A$4:$A$203,A79)&gt;1,"ID duplicado",IF(COUNTIF(Clientes!$A$4:$A$203,B79)=0,"Cliente não encontrado",IF(OR(E79&lt;=0,G79&lt;=0,F79&lt;0),"Revisar condições","OK"))))</f>
        <v/>
      </c>
    </row>
    <row r="80" spans="1:17" x14ac:dyDescent="0.3">
      <c r="A80" s="17"/>
      <c r="B80" s="17"/>
      <c r="C80" s="21" t="str">
        <f>IF(B80="","",IFERROR(INDEX(Clientes!$B$4:$B$203,MATCH(B80,Clientes!$A$4:$A$203,0)),"Cliente não encontrado"))</f>
        <v/>
      </c>
      <c r="D80" s="18"/>
      <c r="E80" s="22"/>
      <c r="F80" s="23"/>
      <c r="G80" s="26"/>
      <c r="H80" s="22"/>
      <c r="I80" s="22"/>
      <c r="J80" s="24" t="str">
        <f>IF(OR(E80="",F80="",G80=""),"",(1+F80)^(1/12)-1)</f>
        <v/>
      </c>
      <c r="K80" s="25" t="str">
        <f>IF(OR(E80&lt;=0,G80&lt;=0),"",-PMT(J80,G80,E80))</f>
        <v/>
      </c>
      <c r="L80" s="25" t="str">
        <f>IF(K80="","",K80+I80)</f>
        <v/>
      </c>
      <c r="M80" s="25" t="str">
        <f>IF(L80="","",L80*G80+H80)</f>
        <v/>
      </c>
      <c r="N80" s="25" t="str">
        <f>IF(K80="","",K80*G80-E80)</f>
        <v/>
      </c>
      <c r="O80" s="17"/>
      <c r="P80" s="20"/>
      <c r="Q80" s="27" t="str">
        <f>IF(A80="","",IF(COUNTIF($A$4:$A$203,A80)&gt;1,"ID duplicado",IF(COUNTIF(Clientes!$A$4:$A$203,B80)=0,"Cliente não encontrado",IF(OR(E80&lt;=0,G80&lt;=0,F80&lt;0),"Revisar condições","OK"))))</f>
        <v/>
      </c>
    </row>
    <row r="81" spans="1:17" x14ac:dyDescent="0.3">
      <c r="A81" s="17"/>
      <c r="B81" s="17"/>
      <c r="C81" s="21" t="str">
        <f>IF(B81="","",IFERROR(INDEX(Clientes!$B$4:$B$203,MATCH(B81,Clientes!$A$4:$A$203,0)),"Cliente não encontrado"))</f>
        <v/>
      </c>
      <c r="D81" s="18"/>
      <c r="E81" s="22"/>
      <c r="F81" s="23"/>
      <c r="G81" s="26"/>
      <c r="H81" s="22"/>
      <c r="I81" s="22"/>
      <c r="J81" s="24" t="str">
        <f>IF(OR(E81="",F81="",G81=""),"",(1+F81)^(1/12)-1)</f>
        <v/>
      </c>
      <c r="K81" s="25" t="str">
        <f>IF(OR(E81&lt;=0,G81&lt;=0),"",-PMT(J81,G81,E81))</f>
        <v/>
      </c>
      <c r="L81" s="25" t="str">
        <f>IF(K81="","",K81+I81)</f>
        <v/>
      </c>
      <c r="M81" s="25" t="str">
        <f>IF(L81="","",L81*G81+H81)</f>
        <v/>
      </c>
      <c r="N81" s="25" t="str">
        <f>IF(K81="","",K81*G81-E81)</f>
        <v/>
      </c>
      <c r="O81" s="17"/>
      <c r="P81" s="20"/>
      <c r="Q81" s="27" t="str">
        <f>IF(A81="","",IF(COUNTIF($A$4:$A$203,A81)&gt;1,"ID duplicado",IF(COUNTIF(Clientes!$A$4:$A$203,B81)=0,"Cliente não encontrado",IF(OR(E81&lt;=0,G81&lt;=0,F81&lt;0),"Revisar condições","OK"))))</f>
        <v/>
      </c>
    </row>
    <row r="82" spans="1:17" x14ac:dyDescent="0.3">
      <c r="A82" s="17"/>
      <c r="B82" s="17"/>
      <c r="C82" s="21" t="str">
        <f>IF(B82="","",IFERROR(INDEX(Clientes!$B$4:$B$203,MATCH(B82,Clientes!$A$4:$A$203,0)),"Cliente não encontrado"))</f>
        <v/>
      </c>
      <c r="D82" s="18"/>
      <c r="E82" s="22"/>
      <c r="F82" s="23"/>
      <c r="G82" s="26"/>
      <c r="H82" s="22"/>
      <c r="I82" s="22"/>
      <c r="J82" s="24" t="str">
        <f>IF(OR(E82="",F82="",G82=""),"",(1+F82)^(1/12)-1)</f>
        <v/>
      </c>
      <c r="K82" s="25" t="str">
        <f>IF(OR(E82&lt;=0,G82&lt;=0),"",-PMT(J82,G82,E82))</f>
        <v/>
      </c>
      <c r="L82" s="25" t="str">
        <f>IF(K82="","",K82+I82)</f>
        <v/>
      </c>
      <c r="M82" s="25" t="str">
        <f>IF(L82="","",L82*G82+H82)</f>
        <v/>
      </c>
      <c r="N82" s="25" t="str">
        <f>IF(K82="","",K82*G82-E82)</f>
        <v/>
      </c>
      <c r="O82" s="17"/>
      <c r="P82" s="20"/>
      <c r="Q82" s="27" t="str">
        <f>IF(A82="","",IF(COUNTIF($A$4:$A$203,A82)&gt;1,"ID duplicado",IF(COUNTIF(Clientes!$A$4:$A$203,B82)=0,"Cliente não encontrado",IF(OR(E82&lt;=0,G82&lt;=0,F82&lt;0),"Revisar condições","OK"))))</f>
        <v/>
      </c>
    </row>
    <row r="83" spans="1:17" x14ac:dyDescent="0.3">
      <c r="A83" s="17"/>
      <c r="B83" s="17"/>
      <c r="C83" s="21" t="str">
        <f>IF(B83="","",IFERROR(INDEX(Clientes!$B$4:$B$203,MATCH(B83,Clientes!$A$4:$A$203,0)),"Cliente não encontrado"))</f>
        <v/>
      </c>
      <c r="D83" s="18"/>
      <c r="E83" s="22"/>
      <c r="F83" s="23"/>
      <c r="G83" s="26"/>
      <c r="H83" s="22"/>
      <c r="I83" s="22"/>
      <c r="J83" s="24" t="str">
        <f>IF(OR(E83="",F83="",G83=""),"",(1+F83)^(1/12)-1)</f>
        <v/>
      </c>
      <c r="K83" s="25" t="str">
        <f>IF(OR(E83&lt;=0,G83&lt;=0),"",-PMT(J83,G83,E83))</f>
        <v/>
      </c>
      <c r="L83" s="25" t="str">
        <f>IF(K83="","",K83+I83)</f>
        <v/>
      </c>
      <c r="M83" s="25" t="str">
        <f>IF(L83="","",L83*G83+H83)</f>
        <v/>
      </c>
      <c r="N83" s="25" t="str">
        <f>IF(K83="","",K83*G83-E83)</f>
        <v/>
      </c>
      <c r="O83" s="17"/>
      <c r="P83" s="20"/>
      <c r="Q83" s="27" t="str">
        <f>IF(A83="","",IF(COUNTIF($A$4:$A$203,A83)&gt;1,"ID duplicado",IF(COUNTIF(Clientes!$A$4:$A$203,B83)=0,"Cliente não encontrado",IF(OR(E83&lt;=0,G83&lt;=0,F83&lt;0),"Revisar condições","OK"))))</f>
        <v/>
      </c>
    </row>
    <row r="84" spans="1:17" x14ac:dyDescent="0.3">
      <c r="A84" s="17"/>
      <c r="B84" s="17"/>
      <c r="C84" s="21" t="str">
        <f>IF(B84="","",IFERROR(INDEX(Clientes!$B$4:$B$203,MATCH(B84,Clientes!$A$4:$A$203,0)),"Cliente não encontrado"))</f>
        <v/>
      </c>
      <c r="D84" s="18"/>
      <c r="E84" s="22"/>
      <c r="F84" s="23"/>
      <c r="G84" s="26"/>
      <c r="H84" s="22"/>
      <c r="I84" s="22"/>
      <c r="J84" s="24" t="str">
        <f>IF(OR(E84="",F84="",G84=""),"",(1+F84)^(1/12)-1)</f>
        <v/>
      </c>
      <c r="K84" s="25" t="str">
        <f>IF(OR(E84&lt;=0,G84&lt;=0),"",-PMT(J84,G84,E84))</f>
        <v/>
      </c>
      <c r="L84" s="25" t="str">
        <f>IF(K84="","",K84+I84)</f>
        <v/>
      </c>
      <c r="M84" s="25" t="str">
        <f>IF(L84="","",L84*G84+H84)</f>
        <v/>
      </c>
      <c r="N84" s="25" t="str">
        <f>IF(K84="","",K84*G84-E84)</f>
        <v/>
      </c>
      <c r="O84" s="17"/>
      <c r="P84" s="20"/>
      <c r="Q84" s="27" t="str">
        <f>IF(A84="","",IF(COUNTIF($A$4:$A$203,A84)&gt;1,"ID duplicado",IF(COUNTIF(Clientes!$A$4:$A$203,B84)=0,"Cliente não encontrado",IF(OR(E84&lt;=0,G84&lt;=0,F84&lt;0),"Revisar condições","OK"))))</f>
        <v/>
      </c>
    </row>
    <row r="85" spans="1:17" x14ac:dyDescent="0.3">
      <c r="A85" s="17"/>
      <c r="B85" s="17"/>
      <c r="C85" s="21" t="str">
        <f>IF(B85="","",IFERROR(INDEX(Clientes!$B$4:$B$203,MATCH(B85,Clientes!$A$4:$A$203,0)),"Cliente não encontrado"))</f>
        <v/>
      </c>
      <c r="D85" s="18"/>
      <c r="E85" s="22"/>
      <c r="F85" s="23"/>
      <c r="G85" s="26"/>
      <c r="H85" s="22"/>
      <c r="I85" s="22"/>
      <c r="J85" s="24" t="str">
        <f>IF(OR(E85="",F85="",G85=""),"",(1+F85)^(1/12)-1)</f>
        <v/>
      </c>
      <c r="K85" s="25" t="str">
        <f>IF(OR(E85&lt;=0,G85&lt;=0),"",-PMT(J85,G85,E85))</f>
        <v/>
      </c>
      <c r="L85" s="25" t="str">
        <f>IF(K85="","",K85+I85)</f>
        <v/>
      </c>
      <c r="M85" s="25" t="str">
        <f>IF(L85="","",L85*G85+H85)</f>
        <v/>
      </c>
      <c r="N85" s="25" t="str">
        <f>IF(K85="","",K85*G85-E85)</f>
        <v/>
      </c>
      <c r="O85" s="17"/>
      <c r="P85" s="20"/>
      <c r="Q85" s="27" t="str">
        <f>IF(A85="","",IF(COUNTIF($A$4:$A$203,A85)&gt;1,"ID duplicado",IF(COUNTIF(Clientes!$A$4:$A$203,B85)=0,"Cliente não encontrado",IF(OR(E85&lt;=0,G85&lt;=0,F85&lt;0),"Revisar condições","OK"))))</f>
        <v/>
      </c>
    </row>
    <row r="86" spans="1:17" x14ac:dyDescent="0.3">
      <c r="A86" s="17"/>
      <c r="B86" s="17"/>
      <c r="C86" s="21" t="str">
        <f>IF(B86="","",IFERROR(INDEX(Clientes!$B$4:$B$203,MATCH(B86,Clientes!$A$4:$A$203,0)),"Cliente não encontrado"))</f>
        <v/>
      </c>
      <c r="D86" s="18"/>
      <c r="E86" s="22"/>
      <c r="F86" s="23"/>
      <c r="G86" s="26"/>
      <c r="H86" s="22"/>
      <c r="I86" s="22"/>
      <c r="J86" s="24" t="str">
        <f>IF(OR(E86="",F86="",G86=""),"",(1+F86)^(1/12)-1)</f>
        <v/>
      </c>
      <c r="K86" s="25" t="str">
        <f>IF(OR(E86&lt;=0,G86&lt;=0),"",-PMT(J86,G86,E86))</f>
        <v/>
      </c>
      <c r="L86" s="25" t="str">
        <f>IF(K86="","",K86+I86)</f>
        <v/>
      </c>
      <c r="M86" s="25" t="str">
        <f>IF(L86="","",L86*G86+H86)</f>
        <v/>
      </c>
      <c r="N86" s="25" t="str">
        <f>IF(K86="","",K86*G86-E86)</f>
        <v/>
      </c>
      <c r="O86" s="17"/>
      <c r="P86" s="20"/>
      <c r="Q86" s="27" t="str">
        <f>IF(A86="","",IF(COUNTIF($A$4:$A$203,A86)&gt;1,"ID duplicado",IF(COUNTIF(Clientes!$A$4:$A$203,B86)=0,"Cliente não encontrado",IF(OR(E86&lt;=0,G86&lt;=0,F86&lt;0),"Revisar condições","OK"))))</f>
        <v/>
      </c>
    </row>
    <row r="87" spans="1:17" x14ac:dyDescent="0.3">
      <c r="A87" s="17"/>
      <c r="B87" s="17"/>
      <c r="C87" s="21" t="str">
        <f>IF(B87="","",IFERROR(INDEX(Clientes!$B$4:$B$203,MATCH(B87,Clientes!$A$4:$A$203,0)),"Cliente não encontrado"))</f>
        <v/>
      </c>
      <c r="D87" s="18"/>
      <c r="E87" s="22"/>
      <c r="F87" s="23"/>
      <c r="G87" s="26"/>
      <c r="H87" s="22"/>
      <c r="I87" s="22"/>
      <c r="J87" s="24" t="str">
        <f>IF(OR(E87="",F87="",G87=""),"",(1+F87)^(1/12)-1)</f>
        <v/>
      </c>
      <c r="K87" s="25" t="str">
        <f>IF(OR(E87&lt;=0,G87&lt;=0),"",-PMT(J87,G87,E87))</f>
        <v/>
      </c>
      <c r="L87" s="25" t="str">
        <f>IF(K87="","",K87+I87)</f>
        <v/>
      </c>
      <c r="M87" s="25" t="str">
        <f>IF(L87="","",L87*G87+H87)</f>
        <v/>
      </c>
      <c r="N87" s="25" t="str">
        <f>IF(K87="","",K87*G87-E87)</f>
        <v/>
      </c>
      <c r="O87" s="17"/>
      <c r="P87" s="20"/>
      <c r="Q87" s="27" t="str">
        <f>IF(A87="","",IF(COUNTIF($A$4:$A$203,A87)&gt;1,"ID duplicado",IF(COUNTIF(Clientes!$A$4:$A$203,B87)=0,"Cliente não encontrado",IF(OR(E87&lt;=0,G87&lt;=0,F87&lt;0),"Revisar condições","OK"))))</f>
        <v/>
      </c>
    </row>
    <row r="88" spans="1:17" x14ac:dyDescent="0.3">
      <c r="A88" s="17"/>
      <c r="B88" s="17"/>
      <c r="C88" s="21" t="str">
        <f>IF(B88="","",IFERROR(INDEX(Clientes!$B$4:$B$203,MATCH(B88,Clientes!$A$4:$A$203,0)),"Cliente não encontrado"))</f>
        <v/>
      </c>
      <c r="D88" s="18"/>
      <c r="E88" s="22"/>
      <c r="F88" s="23"/>
      <c r="G88" s="26"/>
      <c r="H88" s="22"/>
      <c r="I88" s="22"/>
      <c r="J88" s="24" t="str">
        <f>IF(OR(E88="",F88="",G88=""),"",(1+F88)^(1/12)-1)</f>
        <v/>
      </c>
      <c r="K88" s="25" t="str">
        <f>IF(OR(E88&lt;=0,G88&lt;=0),"",-PMT(J88,G88,E88))</f>
        <v/>
      </c>
      <c r="L88" s="25" t="str">
        <f>IF(K88="","",K88+I88)</f>
        <v/>
      </c>
      <c r="M88" s="25" t="str">
        <f>IF(L88="","",L88*G88+H88)</f>
        <v/>
      </c>
      <c r="N88" s="25" t="str">
        <f>IF(K88="","",K88*G88-E88)</f>
        <v/>
      </c>
      <c r="O88" s="17"/>
      <c r="P88" s="20"/>
      <c r="Q88" s="27" t="str">
        <f>IF(A88="","",IF(COUNTIF($A$4:$A$203,A88)&gt;1,"ID duplicado",IF(COUNTIF(Clientes!$A$4:$A$203,B88)=0,"Cliente não encontrado",IF(OR(E88&lt;=0,G88&lt;=0,F88&lt;0),"Revisar condições","OK"))))</f>
        <v/>
      </c>
    </row>
    <row r="89" spans="1:17" x14ac:dyDescent="0.3">
      <c r="A89" s="17"/>
      <c r="B89" s="17"/>
      <c r="C89" s="21" t="str">
        <f>IF(B89="","",IFERROR(INDEX(Clientes!$B$4:$B$203,MATCH(B89,Clientes!$A$4:$A$203,0)),"Cliente não encontrado"))</f>
        <v/>
      </c>
      <c r="D89" s="18"/>
      <c r="E89" s="22"/>
      <c r="F89" s="23"/>
      <c r="G89" s="26"/>
      <c r="H89" s="22"/>
      <c r="I89" s="22"/>
      <c r="J89" s="24" t="str">
        <f>IF(OR(E89="",F89="",G89=""),"",(1+F89)^(1/12)-1)</f>
        <v/>
      </c>
      <c r="K89" s="25" t="str">
        <f>IF(OR(E89&lt;=0,G89&lt;=0),"",-PMT(J89,G89,E89))</f>
        <v/>
      </c>
      <c r="L89" s="25" t="str">
        <f>IF(K89="","",K89+I89)</f>
        <v/>
      </c>
      <c r="M89" s="25" t="str">
        <f>IF(L89="","",L89*G89+H89)</f>
        <v/>
      </c>
      <c r="N89" s="25" t="str">
        <f>IF(K89="","",K89*G89-E89)</f>
        <v/>
      </c>
      <c r="O89" s="17"/>
      <c r="P89" s="20"/>
      <c r="Q89" s="27" t="str">
        <f>IF(A89="","",IF(COUNTIF($A$4:$A$203,A89)&gt;1,"ID duplicado",IF(COUNTIF(Clientes!$A$4:$A$203,B89)=0,"Cliente não encontrado",IF(OR(E89&lt;=0,G89&lt;=0,F89&lt;0),"Revisar condições","OK"))))</f>
        <v/>
      </c>
    </row>
    <row r="90" spans="1:17" x14ac:dyDescent="0.3">
      <c r="A90" s="17"/>
      <c r="B90" s="17"/>
      <c r="C90" s="21" t="str">
        <f>IF(B90="","",IFERROR(INDEX(Clientes!$B$4:$B$203,MATCH(B90,Clientes!$A$4:$A$203,0)),"Cliente não encontrado"))</f>
        <v/>
      </c>
      <c r="D90" s="18"/>
      <c r="E90" s="22"/>
      <c r="F90" s="23"/>
      <c r="G90" s="26"/>
      <c r="H90" s="22"/>
      <c r="I90" s="22"/>
      <c r="J90" s="24" t="str">
        <f>IF(OR(E90="",F90="",G90=""),"",(1+F90)^(1/12)-1)</f>
        <v/>
      </c>
      <c r="K90" s="25" t="str">
        <f>IF(OR(E90&lt;=0,G90&lt;=0),"",-PMT(J90,G90,E90))</f>
        <v/>
      </c>
      <c r="L90" s="25" t="str">
        <f>IF(K90="","",K90+I90)</f>
        <v/>
      </c>
      <c r="M90" s="25" t="str">
        <f>IF(L90="","",L90*G90+H90)</f>
        <v/>
      </c>
      <c r="N90" s="25" t="str">
        <f>IF(K90="","",K90*G90-E90)</f>
        <v/>
      </c>
      <c r="O90" s="17"/>
      <c r="P90" s="20"/>
      <c r="Q90" s="27" t="str">
        <f>IF(A90="","",IF(COUNTIF($A$4:$A$203,A90)&gt;1,"ID duplicado",IF(COUNTIF(Clientes!$A$4:$A$203,B90)=0,"Cliente não encontrado",IF(OR(E90&lt;=0,G90&lt;=0,F90&lt;0),"Revisar condições","OK"))))</f>
        <v/>
      </c>
    </row>
    <row r="91" spans="1:17" x14ac:dyDescent="0.3">
      <c r="A91" s="17"/>
      <c r="B91" s="17"/>
      <c r="C91" s="21" t="str">
        <f>IF(B91="","",IFERROR(INDEX(Clientes!$B$4:$B$203,MATCH(B91,Clientes!$A$4:$A$203,0)),"Cliente não encontrado"))</f>
        <v/>
      </c>
      <c r="D91" s="18"/>
      <c r="E91" s="22"/>
      <c r="F91" s="23"/>
      <c r="G91" s="26"/>
      <c r="H91" s="22"/>
      <c r="I91" s="22"/>
      <c r="J91" s="24" t="str">
        <f>IF(OR(E91="",F91="",G91=""),"",(1+F91)^(1/12)-1)</f>
        <v/>
      </c>
      <c r="K91" s="25" t="str">
        <f>IF(OR(E91&lt;=0,G91&lt;=0),"",-PMT(J91,G91,E91))</f>
        <v/>
      </c>
      <c r="L91" s="25" t="str">
        <f>IF(K91="","",K91+I91)</f>
        <v/>
      </c>
      <c r="M91" s="25" t="str">
        <f>IF(L91="","",L91*G91+H91)</f>
        <v/>
      </c>
      <c r="N91" s="25" t="str">
        <f>IF(K91="","",K91*G91-E91)</f>
        <v/>
      </c>
      <c r="O91" s="17"/>
      <c r="P91" s="20"/>
      <c r="Q91" s="27" t="str">
        <f>IF(A91="","",IF(COUNTIF($A$4:$A$203,A91)&gt;1,"ID duplicado",IF(COUNTIF(Clientes!$A$4:$A$203,B91)=0,"Cliente não encontrado",IF(OR(E91&lt;=0,G91&lt;=0,F91&lt;0),"Revisar condições","OK"))))</f>
        <v/>
      </c>
    </row>
    <row r="92" spans="1:17" x14ac:dyDescent="0.3">
      <c r="A92" s="17"/>
      <c r="B92" s="17"/>
      <c r="C92" s="21" t="str">
        <f>IF(B92="","",IFERROR(INDEX(Clientes!$B$4:$B$203,MATCH(B92,Clientes!$A$4:$A$203,0)),"Cliente não encontrado"))</f>
        <v/>
      </c>
      <c r="D92" s="18"/>
      <c r="E92" s="22"/>
      <c r="F92" s="23"/>
      <c r="G92" s="26"/>
      <c r="H92" s="22"/>
      <c r="I92" s="22"/>
      <c r="J92" s="24" t="str">
        <f>IF(OR(E92="",F92="",G92=""),"",(1+F92)^(1/12)-1)</f>
        <v/>
      </c>
      <c r="K92" s="25" t="str">
        <f>IF(OR(E92&lt;=0,G92&lt;=0),"",-PMT(J92,G92,E92))</f>
        <v/>
      </c>
      <c r="L92" s="25" t="str">
        <f>IF(K92="","",K92+I92)</f>
        <v/>
      </c>
      <c r="M92" s="25" t="str">
        <f>IF(L92="","",L92*G92+H92)</f>
        <v/>
      </c>
      <c r="N92" s="25" t="str">
        <f>IF(K92="","",K92*G92-E92)</f>
        <v/>
      </c>
      <c r="O92" s="17"/>
      <c r="P92" s="20"/>
      <c r="Q92" s="27" t="str">
        <f>IF(A92="","",IF(COUNTIF($A$4:$A$203,A92)&gt;1,"ID duplicado",IF(COUNTIF(Clientes!$A$4:$A$203,B92)=0,"Cliente não encontrado",IF(OR(E92&lt;=0,G92&lt;=0,F92&lt;0),"Revisar condições","OK"))))</f>
        <v/>
      </c>
    </row>
    <row r="93" spans="1:17" x14ac:dyDescent="0.3">
      <c r="A93" s="17"/>
      <c r="B93" s="17"/>
      <c r="C93" s="21" t="str">
        <f>IF(B93="","",IFERROR(INDEX(Clientes!$B$4:$B$203,MATCH(B93,Clientes!$A$4:$A$203,0)),"Cliente não encontrado"))</f>
        <v/>
      </c>
      <c r="D93" s="18"/>
      <c r="E93" s="22"/>
      <c r="F93" s="23"/>
      <c r="G93" s="26"/>
      <c r="H93" s="22"/>
      <c r="I93" s="22"/>
      <c r="J93" s="24" t="str">
        <f>IF(OR(E93="",F93="",G93=""),"",(1+F93)^(1/12)-1)</f>
        <v/>
      </c>
      <c r="K93" s="25" t="str">
        <f>IF(OR(E93&lt;=0,G93&lt;=0),"",-PMT(J93,G93,E93))</f>
        <v/>
      </c>
      <c r="L93" s="25" t="str">
        <f>IF(K93="","",K93+I93)</f>
        <v/>
      </c>
      <c r="M93" s="25" t="str">
        <f>IF(L93="","",L93*G93+H93)</f>
        <v/>
      </c>
      <c r="N93" s="25" t="str">
        <f>IF(K93="","",K93*G93-E93)</f>
        <v/>
      </c>
      <c r="O93" s="17"/>
      <c r="P93" s="20"/>
      <c r="Q93" s="27" t="str">
        <f>IF(A93="","",IF(COUNTIF($A$4:$A$203,A93)&gt;1,"ID duplicado",IF(COUNTIF(Clientes!$A$4:$A$203,B93)=0,"Cliente não encontrado",IF(OR(E93&lt;=0,G93&lt;=0,F93&lt;0),"Revisar condições","OK"))))</f>
        <v/>
      </c>
    </row>
    <row r="94" spans="1:17" x14ac:dyDescent="0.3">
      <c r="A94" s="17"/>
      <c r="B94" s="17"/>
      <c r="C94" s="21" t="str">
        <f>IF(B94="","",IFERROR(INDEX(Clientes!$B$4:$B$203,MATCH(B94,Clientes!$A$4:$A$203,0)),"Cliente não encontrado"))</f>
        <v/>
      </c>
      <c r="D94" s="18"/>
      <c r="E94" s="22"/>
      <c r="F94" s="23"/>
      <c r="G94" s="26"/>
      <c r="H94" s="22"/>
      <c r="I94" s="22"/>
      <c r="J94" s="24" t="str">
        <f>IF(OR(E94="",F94="",G94=""),"",(1+F94)^(1/12)-1)</f>
        <v/>
      </c>
      <c r="K94" s="25" t="str">
        <f>IF(OR(E94&lt;=0,G94&lt;=0),"",-PMT(J94,G94,E94))</f>
        <v/>
      </c>
      <c r="L94" s="25" t="str">
        <f>IF(K94="","",K94+I94)</f>
        <v/>
      </c>
      <c r="M94" s="25" t="str">
        <f>IF(L94="","",L94*G94+H94)</f>
        <v/>
      </c>
      <c r="N94" s="25" t="str">
        <f>IF(K94="","",K94*G94-E94)</f>
        <v/>
      </c>
      <c r="O94" s="17"/>
      <c r="P94" s="20"/>
      <c r="Q94" s="27" t="str">
        <f>IF(A94="","",IF(COUNTIF($A$4:$A$203,A94)&gt;1,"ID duplicado",IF(COUNTIF(Clientes!$A$4:$A$203,B94)=0,"Cliente não encontrado",IF(OR(E94&lt;=0,G94&lt;=0,F94&lt;0),"Revisar condições","OK"))))</f>
        <v/>
      </c>
    </row>
    <row r="95" spans="1:17" x14ac:dyDescent="0.3">
      <c r="A95" s="17"/>
      <c r="B95" s="17"/>
      <c r="C95" s="21" t="str">
        <f>IF(B95="","",IFERROR(INDEX(Clientes!$B$4:$B$203,MATCH(B95,Clientes!$A$4:$A$203,0)),"Cliente não encontrado"))</f>
        <v/>
      </c>
      <c r="D95" s="18"/>
      <c r="E95" s="22"/>
      <c r="F95" s="23"/>
      <c r="G95" s="26"/>
      <c r="H95" s="22"/>
      <c r="I95" s="22"/>
      <c r="J95" s="24" t="str">
        <f>IF(OR(E95="",F95="",G95=""),"",(1+F95)^(1/12)-1)</f>
        <v/>
      </c>
      <c r="K95" s="25" t="str">
        <f>IF(OR(E95&lt;=0,G95&lt;=0),"",-PMT(J95,G95,E95))</f>
        <v/>
      </c>
      <c r="L95" s="25" t="str">
        <f>IF(K95="","",K95+I95)</f>
        <v/>
      </c>
      <c r="M95" s="25" t="str">
        <f>IF(L95="","",L95*G95+H95)</f>
        <v/>
      </c>
      <c r="N95" s="25" t="str">
        <f>IF(K95="","",K95*G95-E95)</f>
        <v/>
      </c>
      <c r="O95" s="17"/>
      <c r="P95" s="20"/>
      <c r="Q95" s="27" t="str">
        <f>IF(A95="","",IF(COUNTIF($A$4:$A$203,A95)&gt;1,"ID duplicado",IF(COUNTIF(Clientes!$A$4:$A$203,B95)=0,"Cliente não encontrado",IF(OR(E95&lt;=0,G95&lt;=0,F95&lt;0),"Revisar condições","OK"))))</f>
        <v/>
      </c>
    </row>
    <row r="96" spans="1:17" x14ac:dyDescent="0.3">
      <c r="A96" s="17"/>
      <c r="B96" s="17"/>
      <c r="C96" s="21" t="str">
        <f>IF(B96="","",IFERROR(INDEX(Clientes!$B$4:$B$203,MATCH(B96,Clientes!$A$4:$A$203,0)),"Cliente não encontrado"))</f>
        <v/>
      </c>
      <c r="D96" s="18"/>
      <c r="E96" s="22"/>
      <c r="F96" s="23"/>
      <c r="G96" s="26"/>
      <c r="H96" s="22"/>
      <c r="I96" s="22"/>
      <c r="J96" s="24" t="str">
        <f>IF(OR(E96="",F96="",G96=""),"",(1+F96)^(1/12)-1)</f>
        <v/>
      </c>
      <c r="K96" s="25" t="str">
        <f>IF(OR(E96&lt;=0,G96&lt;=0),"",-PMT(J96,G96,E96))</f>
        <v/>
      </c>
      <c r="L96" s="25" t="str">
        <f>IF(K96="","",K96+I96)</f>
        <v/>
      </c>
      <c r="M96" s="25" t="str">
        <f>IF(L96="","",L96*G96+H96)</f>
        <v/>
      </c>
      <c r="N96" s="25" t="str">
        <f>IF(K96="","",K96*G96-E96)</f>
        <v/>
      </c>
      <c r="O96" s="17"/>
      <c r="P96" s="20"/>
      <c r="Q96" s="27" t="str">
        <f>IF(A96="","",IF(COUNTIF($A$4:$A$203,A96)&gt;1,"ID duplicado",IF(COUNTIF(Clientes!$A$4:$A$203,B96)=0,"Cliente não encontrado",IF(OR(E96&lt;=0,G96&lt;=0,F96&lt;0),"Revisar condições","OK"))))</f>
        <v/>
      </c>
    </row>
    <row r="97" spans="1:17" x14ac:dyDescent="0.3">
      <c r="A97" s="17"/>
      <c r="B97" s="17"/>
      <c r="C97" s="21" t="str">
        <f>IF(B97="","",IFERROR(INDEX(Clientes!$B$4:$B$203,MATCH(B97,Clientes!$A$4:$A$203,0)),"Cliente não encontrado"))</f>
        <v/>
      </c>
      <c r="D97" s="18"/>
      <c r="E97" s="22"/>
      <c r="F97" s="23"/>
      <c r="G97" s="26"/>
      <c r="H97" s="22"/>
      <c r="I97" s="22"/>
      <c r="J97" s="24" t="str">
        <f>IF(OR(E97="",F97="",G97=""),"",(1+F97)^(1/12)-1)</f>
        <v/>
      </c>
      <c r="K97" s="25" t="str">
        <f>IF(OR(E97&lt;=0,G97&lt;=0),"",-PMT(J97,G97,E97))</f>
        <v/>
      </c>
      <c r="L97" s="25" t="str">
        <f>IF(K97="","",K97+I97)</f>
        <v/>
      </c>
      <c r="M97" s="25" t="str">
        <f>IF(L97="","",L97*G97+H97)</f>
        <v/>
      </c>
      <c r="N97" s="25" t="str">
        <f>IF(K97="","",K97*G97-E97)</f>
        <v/>
      </c>
      <c r="O97" s="17"/>
      <c r="P97" s="20"/>
      <c r="Q97" s="27" t="str">
        <f>IF(A97="","",IF(COUNTIF($A$4:$A$203,A97)&gt;1,"ID duplicado",IF(COUNTIF(Clientes!$A$4:$A$203,B97)=0,"Cliente não encontrado",IF(OR(E97&lt;=0,G97&lt;=0,F97&lt;0),"Revisar condições","OK"))))</f>
        <v/>
      </c>
    </row>
    <row r="98" spans="1:17" x14ac:dyDescent="0.3">
      <c r="A98" s="17"/>
      <c r="B98" s="17"/>
      <c r="C98" s="21" t="str">
        <f>IF(B98="","",IFERROR(INDEX(Clientes!$B$4:$B$203,MATCH(B98,Clientes!$A$4:$A$203,0)),"Cliente não encontrado"))</f>
        <v/>
      </c>
      <c r="D98" s="18"/>
      <c r="E98" s="22"/>
      <c r="F98" s="23"/>
      <c r="G98" s="26"/>
      <c r="H98" s="22"/>
      <c r="I98" s="22"/>
      <c r="J98" s="24" t="str">
        <f>IF(OR(E98="",F98="",G98=""),"",(1+F98)^(1/12)-1)</f>
        <v/>
      </c>
      <c r="K98" s="25" t="str">
        <f>IF(OR(E98&lt;=0,G98&lt;=0),"",-PMT(J98,G98,E98))</f>
        <v/>
      </c>
      <c r="L98" s="25" t="str">
        <f>IF(K98="","",K98+I98)</f>
        <v/>
      </c>
      <c r="M98" s="25" t="str">
        <f>IF(L98="","",L98*G98+H98)</f>
        <v/>
      </c>
      <c r="N98" s="25" t="str">
        <f>IF(K98="","",K98*G98-E98)</f>
        <v/>
      </c>
      <c r="O98" s="17"/>
      <c r="P98" s="20"/>
      <c r="Q98" s="27" t="str">
        <f>IF(A98="","",IF(COUNTIF($A$4:$A$203,A98)&gt;1,"ID duplicado",IF(COUNTIF(Clientes!$A$4:$A$203,B98)=0,"Cliente não encontrado",IF(OR(E98&lt;=0,G98&lt;=0,F98&lt;0),"Revisar condições","OK"))))</f>
        <v/>
      </c>
    </row>
    <row r="99" spans="1:17" x14ac:dyDescent="0.3">
      <c r="A99" s="17"/>
      <c r="B99" s="17"/>
      <c r="C99" s="21" t="str">
        <f>IF(B99="","",IFERROR(INDEX(Clientes!$B$4:$B$203,MATCH(B99,Clientes!$A$4:$A$203,0)),"Cliente não encontrado"))</f>
        <v/>
      </c>
      <c r="D99" s="18"/>
      <c r="E99" s="22"/>
      <c r="F99" s="23"/>
      <c r="G99" s="26"/>
      <c r="H99" s="22"/>
      <c r="I99" s="22"/>
      <c r="J99" s="24" t="str">
        <f>IF(OR(E99="",F99="",G99=""),"",(1+F99)^(1/12)-1)</f>
        <v/>
      </c>
      <c r="K99" s="25" t="str">
        <f>IF(OR(E99&lt;=0,G99&lt;=0),"",-PMT(J99,G99,E99))</f>
        <v/>
      </c>
      <c r="L99" s="25" t="str">
        <f>IF(K99="","",K99+I99)</f>
        <v/>
      </c>
      <c r="M99" s="25" t="str">
        <f>IF(L99="","",L99*G99+H99)</f>
        <v/>
      </c>
      <c r="N99" s="25" t="str">
        <f>IF(K99="","",K99*G99-E99)</f>
        <v/>
      </c>
      <c r="O99" s="17"/>
      <c r="P99" s="20"/>
      <c r="Q99" s="27" t="str">
        <f>IF(A99="","",IF(COUNTIF($A$4:$A$203,A99)&gt;1,"ID duplicado",IF(COUNTIF(Clientes!$A$4:$A$203,B99)=0,"Cliente não encontrado",IF(OR(E99&lt;=0,G99&lt;=0,F99&lt;0),"Revisar condições","OK"))))</f>
        <v/>
      </c>
    </row>
    <row r="100" spans="1:17" x14ac:dyDescent="0.3">
      <c r="A100" s="17"/>
      <c r="B100" s="17"/>
      <c r="C100" s="21" t="str">
        <f>IF(B100="","",IFERROR(INDEX(Clientes!$B$4:$B$203,MATCH(B100,Clientes!$A$4:$A$203,0)),"Cliente não encontrado"))</f>
        <v/>
      </c>
      <c r="D100" s="18"/>
      <c r="E100" s="22"/>
      <c r="F100" s="23"/>
      <c r="G100" s="26"/>
      <c r="H100" s="22"/>
      <c r="I100" s="22"/>
      <c r="J100" s="24" t="str">
        <f>IF(OR(E100="",F100="",G100=""),"",(1+F100)^(1/12)-1)</f>
        <v/>
      </c>
      <c r="K100" s="25" t="str">
        <f>IF(OR(E100&lt;=0,G100&lt;=0),"",-PMT(J100,G100,E100))</f>
        <v/>
      </c>
      <c r="L100" s="25" t="str">
        <f>IF(K100="","",K100+I100)</f>
        <v/>
      </c>
      <c r="M100" s="25" t="str">
        <f>IF(L100="","",L100*G100+H100)</f>
        <v/>
      </c>
      <c r="N100" s="25" t="str">
        <f>IF(K100="","",K100*G100-E100)</f>
        <v/>
      </c>
      <c r="O100" s="17"/>
      <c r="P100" s="20"/>
      <c r="Q100" s="27" t="str">
        <f>IF(A100="","",IF(COUNTIF($A$4:$A$203,A100)&gt;1,"ID duplicado",IF(COUNTIF(Clientes!$A$4:$A$203,B100)=0,"Cliente não encontrado",IF(OR(E100&lt;=0,G100&lt;=0,F100&lt;0),"Revisar condições","OK"))))</f>
        <v/>
      </c>
    </row>
    <row r="101" spans="1:17" x14ac:dyDescent="0.3">
      <c r="A101" s="17"/>
      <c r="B101" s="17"/>
      <c r="C101" s="21" t="str">
        <f>IF(B101="","",IFERROR(INDEX(Clientes!$B$4:$B$203,MATCH(B101,Clientes!$A$4:$A$203,0)),"Cliente não encontrado"))</f>
        <v/>
      </c>
      <c r="D101" s="18"/>
      <c r="E101" s="22"/>
      <c r="F101" s="23"/>
      <c r="G101" s="26"/>
      <c r="H101" s="22"/>
      <c r="I101" s="22"/>
      <c r="J101" s="24" t="str">
        <f>IF(OR(E101="",F101="",G101=""),"",(1+F101)^(1/12)-1)</f>
        <v/>
      </c>
      <c r="K101" s="25" t="str">
        <f>IF(OR(E101&lt;=0,G101&lt;=0),"",-PMT(J101,G101,E101))</f>
        <v/>
      </c>
      <c r="L101" s="25" t="str">
        <f>IF(K101="","",K101+I101)</f>
        <v/>
      </c>
      <c r="M101" s="25" t="str">
        <f>IF(L101="","",L101*G101+H101)</f>
        <v/>
      </c>
      <c r="N101" s="25" t="str">
        <f>IF(K101="","",K101*G101-E101)</f>
        <v/>
      </c>
      <c r="O101" s="17"/>
      <c r="P101" s="20"/>
      <c r="Q101" s="27" t="str">
        <f>IF(A101="","",IF(COUNTIF($A$4:$A$203,A101)&gt;1,"ID duplicado",IF(COUNTIF(Clientes!$A$4:$A$203,B101)=0,"Cliente não encontrado",IF(OR(E101&lt;=0,G101&lt;=0,F101&lt;0),"Revisar condições","OK"))))</f>
        <v/>
      </c>
    </row>
    <row r="102" spans="1:17" x14ac:dyDescent="0.3">
      <c r="A102" s="17"/>
      <c r="B102" s="17"/>
      <c r="C102" s="21" t="str">
        <f>IF(B102="","",IFERROR(INDEX(Clientes!$B$4:$B$203,MATCH(B102,Clientes!$A$4:$A$203,0)),"Cliente não encontrado"))</f>
        <v/>
      </c>
      <c r="D102" s="18"/>
      <c r="E102" s="22"/>
      <c r="F102" s="23"/>
      <c r="G102" s="26"/>
      <c r="H102" s="22"/>
      <c r="I102" s="22"/>
      <c r="J102" s="24" t="str">
        <f>IF(OR(E102="",F102="",G102=""),"",(1+F102)^(1/12)-1)</f>
        <v/>
      </c>
      <c r="K102" s="25" t="str">
        <f>IF(OR(E102&lt;=0,G102&lt;=0),"",-PMT(J102,G102,E102))</f>
        <v/>
      </c>
      <c r="L102" s="25" t="str">
        <f>IF(K102="","",K102+I102)</f>
        <v/>
      </c>
      <c r="M102" s="25" t="str">
        <f>IF(L102="","",L102*G102+H102)</f>
        <v/>
      </c>
      <c r="N102" s="25" t="str">
        <f>IF(K102="","",K102*G102-E102)</f>
        <v/>
      </c>
      <c r="O102" s="17"/>
      <c r="P102" s="20"/>
      <c r="Q102" s="27" t="str">
        <f>IF(A102="","",IF(COUNTIF($A$4:$A$203,A102)&gt;1,"ID duplicado",IF(COUNTIF(Clientes!$A$4:$A$203,B102)=0,"Cliente não encontrado",IF(OR(E102&lt;=0,G102&lt;=0,F102&lt;0),"Revisar condições","OK"))))</f>
        <v/>
      </c>
    </row>
    <row r="103" spans="1:17" x14ac:dyDescent="0.3">
      <c r="A103" s="17"/>
      <c r="B103" s="17"/>
      <c r="C103" s="21" t="str">
        <f>IF(B103="","",IFERROR(INDEX(Clientes!$B$4:$B$203,MATCH(B103,Clientes!$A$4:$A$203,0)),"Cliente não encontrado"))</f>
        <v/>
      </c>
      <c r="D103" s="18"/>
      <c r="E103" s="22"/>
      <c r="F103" s="23"/>
      <c r="G103" s="26"/>
      <c r="H103" s="22"/>
      <c r="I103" s="22"/>
      <c r="J103" s="24" t="str">
        <f>IF(OR(E103="",F103="",G103=""),"",(1+F103)^(1/12)-1)</f>
        <v/>
      </c>
      <c r="K103" s="25" t="str">
        <f>IF(OR(E103&lt;=0,G103&lt;=0),"",-PMT(J103,G103,E103))</f>
        <v/>
      </c>
      <c r="L103" s="25" t="str">
        <f>IF(K103="","",K103+I103)</f>
        <v/>
      </c>
      <c r="M103" s="25" t="str">
        <f>IF(L103="","",L103*G103+H103)</f>
        <v/>
      </c>
      <c r="N103" s="25" t="str">
        <f>IF(K103="","",K103*G103-E103)</f>
        <v/>
      </c>
      <c r="O103" s="17"/>
      <c r="P103" s="20"/>
      <c r="Q103" s="27" t="str">
        <f>IF(A103="","",IF(COUNTIF($A$4:$A$203,A103)&gt;1,"ID duplicado",IF(COUNTIF(Clientes!$A$4:$A$203,B103)=0,"Cliente não encontrado",IF(OR(E103&lt;=0,G103&lt;=0,F103&lt;0),"Revisar condições","OK"))))</f>
        <v/>
      </c>
    </row>
    <row r="104" spans="1:17" x14ac:dyDescent="0.3">
      <c r="A104" s="17"/>
      <c r="B104" s="17"/>
      <c r="C104" s="21" t="str">
        <f>IF(B104="","",IFERROR(INDEX(Clientes!$B$4:$B$203,MATCH(B104,Clientes!$A$4:$A$203,0)),"Cliente não encontrado"))</f>
        <v/>
      </c>
      <c r="D104" s="18"/>
      <c r="E104" s="22"/>
      <c r="F104" s="23"/>
      <c r="G104" s="26"/>
      <c r="H104" s="22"/>
      <c r="I104" s="22"/>
      <c r="J104" s="24" t="str">
        <f>IF(OR(E104="",F104="",G104=""),"",(1+F104)^(1/12)-1)</f>
        <v/>
      </c>
      <c r="K104" s="25" t="str">
        <f>IF(OR(E104&lt;=0,G104&lt;=0),"",-PMT(J104,G104,E104))</f>
        <v/>
      </c>
      <c r="L104" s="25" t="str">
        <f>IF(K104="","",K104+I104)</f>
        <v/>
      </c>
      <c r="M104" s="25" t="str">
        <f>IF(L104="","",L104*G104+H104)</f>
        <v/>
      </c>
      <c r="N104" s="25" t="str">
        <f>IF(K104="","",K104*G104-E104)</f>
        <v/>
      </c>
      <c r="O104" s="17"/>
      <c r="P104" s="20"/>
      <c r="Q104" s="27" t="str">
        <f>IF(A104="","",IF(COUNTIF($A$4:$A$203,A104)&gt;1,"ID duplicado",IF(COUNTIF(Clientes!$A$4:$A$203,B104)=0,"Cliente não encontrado",IF(OR(E104&lt;=0,G104&lt;=0,F104&lt;0),"Revisar condições","OK"))))</f>
        <v/>
      </c>
    </row>
    <row r="105" spans="1:17" x14ac:dyDescent="0.3">
      <c r="A105" s="17"/>
      <c r="B105" s="17"/>
      <c r="C105" s="21" t="str">
        <f>IF(B105="","",IFERROR(INDEX(Clientes!$B$4:$B$203,MATCH(B105,Clientes!$A$4:$A$203,0)),"Cliente não encontrado"))</f>
        <v/>
      </c>
      <c r="D105" s="18"/>
      <c r="E105" s="22"/>
      <c r="F105" s="23"/>
      <c r="G105" s="26"/>
      <c r="H105" s="22"/>
      <c r="I105" s="22"/>
      <c r="J105" s="24" t="str">
        <f>IF(OR(E105="",F105="",G105=""),"",(1+F105)^(1/12)-1)</f>
        <v/>
      </c>
      <c r="K105" s="25" t="str">
        <f>IF(OR(E105&lt;=0,G105&lt;=0),"",-PMT(J105,G105,E105))</f>
        <v/>
      </c>
      <c r="L105" s="25" t="str">
        <f>IF(K105="","",K105+I105)</f>
        <v/>
      </c>
      <c r="M105" s="25" t="str">
        <f>IF(L105="","",L105*G105+H105)</f>
        <v/>
      </c>
      <c r="N105" s="25" t="str">
        <f>IF(K105="","",K105*G105-E105)</f>
        <v/>
      </c>
      <c r="O105" s="17"/>
      <c r="P105" s="20"/>
      <c r="Q105" s="27" t="str">
        <f>IF(A105="","",IF(COUNTIF($A$4:$A$203,A105)&gt;1,"ID duplicado",IF(COUNTIF(Clientes!$A$4:$A$203,B105)=0,"Cliente não encontrado",IF(OR(E105&lt;=0,G105&lt;=0,F105&lt;0),"Revisar condições","OK"))))</f>
        <v/>
      </c>
    </row>
    <row r="106" spans="1:17" x14ac:dyDescent="0.3">
      <c r="A106" s="17"/>
      <c r="B106" s="17"/>
      <c r="C106" s="21" t="str">
        <f>IF(B106="","",IFERROR(INDEX(Clientes!$B$4:$B$203,MATCH(B106,Clientes!$A$4:$A$203,0)),"Cliente não encontrado"))</f>
        <v/>
      </c>
      <c r="D106" s="18"/>
      <c r="E106" s="22"/>
      <c r="F106" s="23"/>
      <c r="G106" s="26"/>
      <c r="H106" s="22"/>
      <c r="I106" s="22"/>
      <c r="J106" s="24" t="str">
        <f>IF(OR(E106="",F106="",G106=""),"",(1+F106)^(1/12)-1)</f>
        <v/>
      </c>
      <c r="K106" s="25" t="str">
        <f>IF(OR(E106&lt;=0,G106&lt;=0),"",-PMT(J106,G106,E106))</f>
        <v/>
      </c>
      <c r="L106" s="25" t="str">
        <f>IF(K106="","",K106+I106)</f>
        <v/>
      </c>
      <c r="M106" s="25" t="str">
        <f>IF(L106="","",L106*G106+H106)</f>
        <v/>
      </c>
      <c r="N106" s="25" t="str">
        <f>IF(K106="","",K106*G106-E106)</f>
        <v/>
      </c>
      <c r="O106" s="17"/>
      <c r="P106" s="20"/>
      <c r="Q106" s="27" t="str">
        <f>IF(A106="","",IF(COUNTIF($A$4:$A$203,A106)&gt;1,"ID duplicado",IF(COUNTIF(Clientes!$A$4:$A$203,B106)=0,"Cliente não encontrado",IF(OR(E106&lt;=0,G106&lt;=0,F106&lt;0),"Revisar condições","OK"))))</f>
        <v/>
      </c>
    </row>
    <row r="107" spans="1:17" x14ac:dyDescent="0.3">
      <c r="A107" s="17"/>
      <c r="B107" s="17"/>
      <c r="C107" s="21" t="str">
        <f>IF(B107="","",IFERROR(INDEX(Clientes!$B$4:$B$203,MATCH(B107,Clientes!$A$4:$A$203,0)),"Cliente não encontrado"))</f>
        <v/>
      </c>
      <c r="D107" s="18"/>
      <c r="E107" s="22"/>
      <c r="F107" s="23"/>
      <c r="G107" s="26"/>
      <c r="H107" s="22"/>
      <c r="I107" s="22"/>
      <c r="J107" s="24" t="str">
        <f>IF(OR(E107="",F107="",G107=""),"",(1+F107)^(1/12)-1)</f>
        <v/>
      </c>
      <c r="K107" s="25" t="str">
        <f>IF(OR(E107&lt;=0,G107&lt;=0),"",-PMT(J107,G107,E107))</f>
        <v/>
      </c>
      <c r="L107" s="25" t="str">
        <f>IF(K107="","",K107+I107)</f>
        <v/>
      </c>
      <c r="M107" s="25" t="str">
        <f>IF(L107="","",L107*G107+H107)</f>
        <v/>
      </c>
      <c r="N107" s="25" t="str">
        <f>IF(K107="","",K107*G107-E107)</f>
        <v/>
      </c>
      <c r="O107" s="17"/>
      <c r="P107" s="20"/>
      <c r="Q107" s="27" t="str">
        <f>IF(A107="","",IF(COUNTIF($A$4:$A$203,A107)&gt;1,"ID duplicado",IF(COUNTIF(Clientes!$A$4:$A$203,B107)=0,"Cliente não encontrado",IF(OR(E107&lt;=0,G107&lt;=0,F107&lt;0),"Revisar condições","OK"))))</f>
        <v/>
      </c>
    </row>
    <row r="108" spans="1:17" x14ac:dyDescent="0.3">
      <c r="A108" s="17"/>
      <c r="B108" s="17"/>
      <c r="C108" s="21" t="str">
        <f>IF(B108="","",IFERROR(INDEX(Clientes!$B$4:$B$203,MATCH(B108,Clientes!$A$4:$A$203,0)),"Cliente não encontrado"))</f>
        <v/>
      </c>
      <c r="D108" s="18"/>
      <c r="E108" s="22"/>
      <c r="F108" s="23"/>
      <c r="G108" s="26"/>
      <c r="H108" s="22"/>
      <c r="I108" s="22"/>
      <c r="J108" s="24" t="str">
        <f>IF(OR(E108="",F108="",G108=""),"",(1+F108)^(1/12)-1)</f>
        <v/>
      </c>
      <c r="K108" s="25" t="str">
        <f>IF(OR(E108&lt;=0,G108&lt;=0),"",-PMT(J108,G108,E108))</f>
        <v/>
      </c>
      <c r="L108" s="25" t="str">
        <f>IF(K108="","",K108+I108)</f>
        <v/>
      </c>
      <c r="M108" s="25" t="str">
        <f>IF(L108="","",L108*G108+H108)</f>
        <v/>
      </c>
      <c r="N108" s="25" t="str">
        <f>IF(K108="","",K108*G108-E108)</f>
        <v/>
      </c>
      <c r="O108" s="17"/>
      <c r="P108" s="20"/>
      <c r="Q108" s="27" t="str">
        <f>IF(A108="","",IF(COUNTIF($A$4:$A$203,A108)&gt;1,"ID duplicado",IF(COUNTIF(Clientes!$A$4:$A$203,B108)=0,"Cliente não encontrado",IF(OR(E108&lt;=0,G108&lt;=0,F108&lt;0),"Revisar condições","OK"))))</f>
        <v/>
      </c>
    </row>
    <row r="109" spans="1:17" x14ac:dyDescent="0.3">
      <c r="A109" s="17"/>
      <c r="B109" s="17"/>
      <c r="C109" s="21" t="str">
        <f>IF(B109="","",IFERROR(INDEX(Clientes!$B$4:$B$203,MATCH(B109,Clientes!$A$4:$A$203,0)),"Cliente não encontrado"))</f>
        <v/>
      </c>
      <c r="D109" s="18"/>
      <c r="E109" s="22"/>
      <c r="F109" s="23"/>
      <c r="G109" s="26"/>
      <c r="H109" s="22"/>
      <c r="I109" s="22"/>
      <c r="J109" s="24" t="str">
        <f>IF(OR(E109="",F109="",G109=""),"",(1+F109)^(1/12)-1)</f>
        <v/>
      </c>
      <c r="K109" s="25" t="str">
        <f>IF(OR(E109&lt;=0,G109&lt;=0),"",-PMT(J109,G109,E109))</f>
        <v/>
      </c>
      <c r="L109" s="25" t="str">
        <f>IF(K109="","",K109+I109)</f>
        <v/>
      </c>
      <c r="M109" s="25" t="str">
        <f>IF(L109="","",L109*G109+H109)</f>
        <v/>
      </c>
      <c r="N109" s="25" t="str">
        <f>IF(K109="","",K109*G109-E109)</f>
        <v/>
      </c>
      <c r="O109" s="17"/>
      <c r="P109" s="20"/>
      <c r="Q109" s="27" t="str">
        <f>IF(A109="","",IF(COUNTIF($A$4:$A$203,A109)&gt;1,"ID duplicado",IF(COUNTIF(Clientes!$A$4:$A$203,B109)=0,"Cliente não encontrado",IF(OR(E109&lt;=0,G109&lt;=0,F109&lt;0),"Revisar condições","OK"))))</f>
        <v/>
      </c>
    </row>
    <row r="110" spans="1:17" x14ac:dyDescent="0.3">
      <c r="A110" s="17"/>
      <c r="B110" s="17"/>
      <c r="C110" s="21" t="str">
        <f>IF(B110="","",IFERROR(INDEX(Clientes!$B$4:$B$203,MATCH(B110,Clientes!$A$4:$A$203,0)),"Cliente não encontrado"))</f>
        <v/>
      </c>
      <c r="D110" s="18"/>
      <c r="E110" s="22"/>
      <c r="F110" s="23"/>
      <c r="G110" s="26"/>
      <c r="H110" s="22"/>
      <c r="I110" s="22"/>
      <c r="J110" s="24" t="str">
        <f>IF(OR(E110="",F110="",G110=""),"",(1+F110)^(1/12)-1)</f>
        <v/>
      </c>
      <c r="K110" s="25" t="str">
        <f>IF(OR(E110&lt;=0,G110&lt;=0),"",-PMT(J110,G110,E110))</f>
        <v/>
      </c>
      <c r="L110" s="25" t="str">
        <f>IF(K110="","",K110+I110)</f>
        <v/>
      </c>
      <c r="M110" s="25" t="str">
        <f>IF(L110="","",L110*G110+H110)</f>
        <v/>
      </c>
      <c r="N110" s="25" t="str">
        <f>IF(K110="","",K110*G110-E110)</f>
        <v/>
      </c>
      <c r="O110" s="17"/>
      <c r="P110" s="20"/>
      <c r="Q110" s="27" t="str">
        <f>IF(A110="","",IF(COUNTIF($A$4:$A$203,A110)&gt;1,"ID duplicado",IF(COUNTIF(Clientes!$A$4:$A$203,B110)=0,"Cliente não encontrado",IF(OR(E110&lt;=0,G110&lt;=0,F110&lt;0),"Revisar condições","OK"))))</f>
        <v/>
      </c>
    </row>
    <row r="111" spans="1:17" x14ac:dyDescent="0.3">
      <c r="A111" s="17"/>
      <c r="B111" s="17"/>
      <c r="C111" s="21" t="str">
        <f>IF(B111="","",IFERROR(INDEX(Clientes!$B$4:$B$203,MATCH(B111,Clientes!$A$4:$A$203,0)),"Cliente não encontrado"))</f>
        <v/>
      </c>
      <c r="D111" s="18"/>
      <c r="E111" s="22"/>
      <c r="F111" s="23"/>
      <c r="G111" s="26"/>
      <c r="H111" s="22"/>
      <c r="I111" s="22"/>
      <c r="J111" s="24" t="str">
        <f>IF(OR(E111="",F111="",G111=""),"",(1+F111)^(1/12)-1)</f>
        <v/>
      </c>
      <c r="K111" s="25" t="str">
        <f>IF(OR(E111&lt;=0,G111&lt;=0),"",-PMT(J111,G111,E111))</f>
        <v/>
      </c>
      <c r="L111" s="25" t="str">
        <f>IF(K111="","",K111+I111)</f>
        <v/>
      </c>
      <c r="M111" s="25" t="str">
        <f>IF(L111="","",L111*G111+H111)</f>
        <v/>
      </c>
      <c r="N111" s="25" t="str">
        <f>IF(K111="","",K111*G111-E111)</f>
        <v/>
      </c>
      <c r="O111" s="17"/>
      <c r="P111" s="20"/>
      <c r="Q111" s="27" t="str">
        <f>IF(A111="","",IF(COUNTIF($A$4:$A$203,A111)&gt;1,"ID duplicado",IF(COUNTIF(Clientes!$A$4:$A$203,B111)=0,"Cliente não encontrado",IF(OR(E111&lt;=0,G111&lt;=0,F111&lt;0),"Revisar condições","OK"))))</f>
        <v/>
      </c>
    </row>
    <row r="112" spans="1:17" x14ac:dyDescent="0.3">
      <c r="A112" s="17"/>
      <c r="B112" s="17"/>
      <c r="C112" s="21" t="str">
        <f>IF(B112="","",IFERROR(INDEX(Clientes!$B$4:$B$203,MATCH(B112,Clientes!$A$4:$A$203,0)),"Cliente não encontrado"))</f>
        <v/>
      </c>
      <c r="D112" s="18"/>
      <c r="E112" s="22"/>
      <c r="F112" s="23"/>
      <c r="G112" s="26"/>
      <c r="H112" s="22"/>
      <c r="I112" s="22"/>
      <c r="J112" s="24" t="str">
        <f>IF(OR(E112="",F112="",G112=""),"",(1+F112)^(1/12)-1)</f>
        <v/>
      </c>
      <c r="K112" s="25" t="str">
        <f>IF(OR(E112&lt;=0,G112&lt;=0),"",-PMT(J112,G112,E112))</f>
        <v/>
      </c>
      <c r="L112" s="25" t="str">
        <f>IF(K112="","",K112+I112)</f>
        <v/>
      </c>
      <c r="M112" s="25" t="str">
        <f>IF(L112="","",L112*G112+H112)</f>
        <v/>
      </c>
      <c r="N112" s="25" t="str">
        <f>IF(K112="","",K112*G112-E112)</f>
        <v/>
      </c>
      <c r="O112" s="17"/>
      <c r="P112" s="20"/>
      <c r="Q112" s="27" t="str">
        <f>IF(A112="","",IF(COUNTIF($A$4:$A$203,A112)&gt;1,"ID duplicado",IF(COUNTIF(Clientes!$A$4:$A$203,B112)=0,"Cliente não encontrado",IF(OR(E112&lt;=0,G112&lt;=0,F112&lt;0),"Revisar condições","OK"))))</f>
        <v/>
      </c>
    </row>
    <row r="113" spans="1:17" x14ac:dyDescent="0.3">
      <c r="A113" s="17"/>
      <c r="B113" s="17"/>
      <c r="C113" s="21" t="str">
        <f>IF(B113="","",IFERROR(INDEX(Clientes!$B$4:$B$203,MATCH(B113,Clientes!$A$4:$A$203,0)),"Cliente não encontrado"))</f>
        <v/>
      </c>
      <c r="D113" s="18"/>
      <c r="E113" s="22"/>
      <c r="F113" s="23"/>
      <c r="G113" s="26"/>
      <c r="H113" s="22"/>
      <c r="I113" s="22"/>
      <c r="J113" s="24" t="str">
        <f>IF(OR(E113="",F113="",G113=""),"",(1+F113)^(1/12)-1)</f>
        <v/>
      </c>
      <c r="K113" s="25" t="str">
        <f>IF(OR(E113&lt;=0,G113&lt;=0),"",-PMT(J113,G113,E113))</f>
        <v/>
      </c>
      <c r="L113" s="25" t="str">
        <f>IF(K113="","",K113+I113)</f>
        <v/>
      </c>
      <c r="M113" s="25" t="str">
        <f>IF(L113="","",L113*G113+H113)</f>
        <v/>
      </c>
      <c r="N113" s="25" t="str">
        <f>IF(K113="","",K113*G113-E113)</f>
        <v/>
      </c>
      <c r="O113" s="17"/>
      <c r="P113" s="20"/>
      <c r="Q113" s="27" t="str">
        <f>IF(A113="","",IF(COUNTIF($A$4:$A$203,A113)&gt;1,"ID duplicado",IF(COUNTIF(Clientes!$A$4:$A$203,B113)=0,"Cliente não encontrado",IF(OR(E113&lt;=0,G113&lt;=0,F113&lt;0),"Revisar condições","OK"))))</f>
        <v/>
      </c>
    </row>
    <row r="114" spans="1:17" x14ac:dyDescent="0.3">
      <c r="A114" s="17"/>
      <c r="B114" s="17"/>
      <c r="C114" s="21" t="str">
        <f>IF(B114="","",IFERROR(INDEX(Clientes!$B$4:$B$203,MATCH(B114,Clientes!$A$4:$A$203,0)),"Cliente não encontrado"))</f>
        <v/>
      </c>
      <c r="D114" s="18"/>
      <c r="E114" s="22"/>
      <c r="F114" s="23"/>
      <c r="G114" s="26"/>
      <c r="H114" s="22"/>
      <c r="I114" s="22"/>
      <c r="J114" s="24" t="str">
        <f>IF(OR(E114="",F114="",G114=""),"",(1+F114)^(1/12)-1)</f>
        <v/>
      </c>
      <c r="K114" s="25" t="str">
        <f>IF(OR(E114&lt;=0,G114&lt;=0),"",-PMT(J114,G114,E114))</f>
        <v/>
      </c>
      <c r="L114" s="25" t="str">
        <f>IF(K114="","",K114+I114)</f>
        <v/>
      </c>
      <c r="M114" s="25" t="str">
        <f>IF(L114="","",L114*G114+H114)</f>
        <v/>
      </c>
      <c r="N114" s="25" t="str">
        <f>IF(K114="","",K114*G114-E114)</f>
        <v/>
      </c>
      <c r="O114" s="17"/>
      <c r="P114" s="20"/>
      <c r="Q114" s="27" t="str">
        <f>IF(A114="","",IF(COUNTIF($A$4:$A$203,A114)&gt;1,"ID duplicado",IF(COUNTIF(Clientes!$A$4:$A$203,B114)=0,"Cliente não encontrado",IF(OR(E114&lt;=0,G114&lt;=0,F114&lt;0),"Revisar condições","OK"))))</f>
        <v/>
      </c>
    </row>
    <row r="115" spans="1:17" x14ac:dyDescent="0.3">
      <c r="A115" s="17"/>
      <c r="B115" s="17"/>
      <c r="C115" s="21" t="str">
        <f>IF(B115="","",IFERROR(INDEX(Clientes!$B$4:$B$203,MATCH(B115,Clientes!$A$4:$A$203,0)),"Cliente não encontrado"))</f>
        <v/>
      </c>
      <c r="D115" s="18"/>
      <c r="E115" s="22"/>
      <c r="F115" s="23"/>
      <c r="G115" s="26"/>
      <c r="H115" s="22"/>
      <c r="I115" s="22"/>
      <c r="J115" s="24" t="str">
        <f>IF(OR(E115="",F115="",G115=""),"",(1+F115)^(1/12)-1)</f>
        <v/>
      </c>
      <c r="K115" s="25" t="str">
        <f>IF(OR(E115&lt;=0,G115&lt;=0),"",-PMT(J115,G115,E115))</f>
        <v/>
      </c>
      <c r="L115" s="25" t="str">
        <f>IF(K115="","",K115+I115)</f>
        <v/>
      </c>
      <c r="M115" s="25" t="str">
        <f>IF(L115="","",L115*G115+H115)</f>
        <v/>
      </c>
      <c r="N115" s="25" t="str">
        <f>IF(K115="","",K115*G115-E115)</f>
        <v/>
      </c>
      <c r="O115" s="17"/>
      <c r="P115" s="20"/>
      <c r="Q115" s="27" t="str">
        <f>IF(A115="","",IF(COUNTIF($A$4:$A$203,A115)&gt;1,"ID duplicado",IF(COUNTIF(Clientes!$A$4:$A$203,B115)=0,"Cliente não encontrado",IF(OR(E115&lt;=0,G115&lt;=0,F115&lt;0),"Revisar condições","OK"))))</f>
        <v/>
      </c>
    </row>
    <row r="116" spans="1:17" x14ac:dyDescent="0.3">
      <c r="A116" s="17"/>
      <c r="B116" s="17"/>
      <c r="C116" s="21" t="str">
        <f>IF(B116="","",IFERROR(INDEX(Clientes!$B$4:$B$203,MATCH(B116,Clientes!$A$4:$A$203,0)),"Cliente não encontrado"))</f>
        <v/>
      </c>
      <c r="D116" s="18"/>
      <c r="E116" s="22"/>
      <c r="F116" s="23"/>
      <c r="G116" s="26"/>
      <c r="H116" s="22"/>
      <c r="I116" s="22"/>
      <c r="J116" s="24" t="str">
        <f>IF(OR(E116="",F116="",G116=""),"",(1+F116)^(1/12)-1)</f>
        <v/>
      </c>
      <c r="K116" s="25" t="str">
        <f>IF(OR(E116&lt;=0,G116&lt;=0),"",-PMT(J116,G116,E116))</f>
        <v/>
      </c>
      <c r="L116" s="25" t="str">
        <f>IF(K116="","",K116+I116)</f>
        <v/>
      </c>
      <c r="M116" s="25" t="str">
        <f>IF(L116="","",L116*G116+H116)</f>
        <v/>
      </c>
      <c r="N116" s="25" t="str">
        <f>IF(K116="","",K116*G116-E116)</f>
        <v/>
      </c>
      <c r="O116" s="17"/>
      <c r="P116" s="20"/>
      <c r="Q116" s="27" t="str">
        <f>IF(A116="","",IF(COUNTIF($A$4:$A$203,A116)&gt;1,"ID duplicado",IF(COUNTIF(Clientes!$A$4:$A$203,B116)=0,"Cliente não encontrado",IF(OR(E116&lt;=0,G116&lt;=0,F116&lt;0),"Revisar condições","OK"))))</f>
        <v/>
      </c>
    </row>
    <row r="117" spans="1:17" x14ac:dyDescent="0.3">
      <c r="A117" s="17"/>
      <c r="B117" s="17"/>
      <c r="C117" s="21" t="str">
        <f>IF(B117="","",IFERROR(INDEX(Clientes!$B$4:$B$203,MATCH(B117,Clientes!$A$4:$A$203,0)),"Cliente não encontrado"))</f>
        <v/>
      </c>
      <c r="D117" s="18"/>
      <c r="E117" s="22"/>
      <c r="F117" s="23"/>
      <c r="G117" s="26"/>
      <c r="H117" s="22"/>
      <c r="I117" s="22"/>
      <c r="J117" s="24" t="str">
        <f>IF(OR(E117="",F117="",G117=""),"",(1+F117)^(1/12)-1)</f>
        <v/>
      </c>
      <c r="K117" s="25" t="str">
        <f>IF(OR(E117&lt;=0,G117&lt;=0),"",-PMT(J117,G117,E117))</f>
        <v/>
      </c>
      <c r="L117" s="25" t="str">
        <f>IF(K117="","",K117+I117)</f>
        <v/>
      </c>
      <c r="M117" s="25" t="str">
        <f>IF(L117="","",L117*G117+H117)</f>
        <v/>
      </c>
      <c r="N117" s="25" t="str">
        <f>IF(K117="","",K117*G117-E117)</f>
        <v/>
      </c>
      <c r="O117" s="17"/>
      <c r="P117" s="20"/>
      <c r="Q117" s="27" t="str">
        <f>IF(A117="","",IF(COUNTIF($A$4:$A$203,A117)&gt;1,"ID duplicado",IF(COUNTIF(Clientes!$A$4:$A$203,B117)=0,"Cliente não encontrado",IF(OR(E117&lt;=0,G117&lt;=0,F117&lt;0),"Revisar condições","OK"))))</f>
        <v/>
      </c>
    </row>
    <row r="118" spans="1:17" x14ac:dyDescent="0.3">
      <c r="A118" s="17"/>
      <c r="B118" s="17"/>
      <c r="C118" s="21" t="str">
        <f>IF(B118="","",IFERROR(INDEX(Clientes!$B$4:$B$203,MATCH(B118,Clientes!$A$4:$A$203,0)),"Cliente não encontrado"))</f>
        <v/>
      </c>
      <c r="D118" s="18"/>
      <c r="E118" s="22"/>
      <c r="F118" s="23"/>
      <c r="G118" s="26"/>
      <c r="H118" s="22"/>
      <c r="I118" s="22"/>
      <c r="J118" s="24" t="str">
        <f>IF(OR(E118="",F118="",G118=""),"",(1+F118)^(1/12)-1)</f>
        <v/>
      </c>
      <c r="K118" s="25" t="str">
        <f>IF(OR(E118&lt;=0,G118&lt;=0),"",-PMT(J118,G118,E118))</f>
        <v/>
      </c>
      <c r="L118" s="25" t="str">
        <f>IF(K118="","",K118+I118)</f>
        <v/>
      </c>
      <c r="M118" s="25" t="str">
        <f>IF(L118="","",L118*G118+H118)</f>
        <v/>
      </c>
      <c r="N118" s="25" t="str">
        <f>IF(K118="","",K118*G118-E118)</f>
        <v/>
      </c>
      <c r="O118" s="17"/>
      <c r="P118" s="20"/>
      <c r="Q118" s="27" t="str">
        <f>IF(A118="","",IF(COUNTIF($A$4:$A$203,A118)&gt;1,"ID duplicado",IF(COUNTIF(Clientes!$A$4:$A$203,B118)=0,"Cliente não encontrado",IF(OR(E118&lt;=0,G118&lt;=0,F118&lt;0),"Revisar condições","OK"))))</f>
        <v/>
      </c>
    </row>
    <row r="119" spans="1:17" x14ac:dyDescent="0.3">
      <c r="A119" s="17"/>
      <c r="B119" s="17"/>
      <c r="C119" s="21" t="str">
        <f>IF(B119="","",IFERROR(INDEX(Clientes!$B$4:$B$203,MATCH(B119,Clientes!$A$4:$A$203,0)),"Cliente não encontrado"))</f>
        <v/>
      </c>
      <c r="D119" s="18"/>
      <c r="E119" s="22"/>
      <c r="F119" s="23"/>
      <c r="G119" s="26"/>
      <c r="H119" s="22"/>
      <c r="I119" s="22"/>
      <c r="J119" s="24" t="str">
        <f>IF(OR(E119="",F119="",G119=""),"",(1+F119)^(1/12)-1)</f>
        <v/>
      </c>
      <c r="K119" s="25" t="str">
        <f>IF(OR(E119&lt;=0,G119&lt;=0),"",-PMT(J119,G119,E119))</f>
        <v/>
      </c>
      <c r="L119" s="25" t="str">
        <f>IF(K119="","",K119+I119)</f>
        <v/>
      </c>
      <c r="M119" s="25" t="str">
        <f>IF(L119="","",L119*G119+H119)</f>
        <v/>
      </c>
      <c r="N119" s="25" t="str">
        <f>IF(K119="","",K119*G119-E119)</f>
        <v/>
      </c>
      <c r="O119" s="17"/>
      <c r="P119" s="20"/>
      <c r="Q119" s="27" t="str">
        <f>IF(A119="","",IF(COUNTIF($A$4:$A$203,A119)&gt;1,"ID duplicado",IF(COUNTIF(Clientes!$A$4:$A$203,B119)=0,"Cliente não encontrado",IF(OR(E119&lt;=0,G119&lt;=0,F119&lt;0),"Revisar condições","OK"))))</f>
        <v/>
      </c>
    </row>
    <row r="120" spans="1:17" x14ac:dyDescent="0.3">
      <c r="A120" s="17"/>
      <c r="B120" s="17"/>
      <c r="C120" s="21" t="str">
        <f>IF(B120="","",IFERROR(INDEX(Clientes!$B$4:$B$203,MATCH(B120,Clientes!$A$4:$A$203,0)),"Cliente não encontrado"))</f>
        <v/>
      </c>
      <c r="D120" s="18"/>
      <c r="E120" s="22"/>
      <c r="F120" s="23"/>
      <c r="G120" s="26"/>
      <c r="H120" s="22"/>
      <c r="I120" s="22"/>
      <c r="J120" s="24" t="str">
        <f>IF(OR(E120="",F120="",G120=""),"",(1+F120)^(1/12)-1)</f>
        <v/>
      </c>
      <c r="K120" s="25" t="str">
        <f>IF(OR(E120&lt;=0,G120&lt;=0),"",-PMT(J120,G120,E120))</f>
        <v/>
      </c>
      <c r="L120" s="25" t="str">
        <f>IF(K120="","",K120+I120)</f>
        <v/>
      </c>
      <c r="M120" s="25" t="str">
        <f>IF(L120="","",L120*G120+H120)</f>
        <v/>
      </c>
      <c r="N120" s="25" t="str">
        <f>IF(K120="","",K120*G120-E120)</f>
        <v/>
      </c>
      <c r="O120" s="17"/>
      <c r="P120" s="20"/>
      <c r="Q120" s="27" t="str">
        <f>IF(A120="","",IF(COUNTIF($A$4:$A$203,A120)&gt;1,"ID duplicado",IF(COUNTIF(Clientes!$A$4:$A$203,B120)=0,"Cliente não encontrado",IF(OR(E120&lt;=0,G120&lt;=0,F120&lt;0),"Revisar condições","OK"))))</f>
        <v/>
      </c>
    </row>
    <row r="121" spans="1:17" x14ac:dyDescent="0.3">
      <c r="A121" s="17"/>
      <c r="B121" s="17"/>
      <c r="C121" s="21" t="str">
        <f>IF(B121="","",IFERROR(INDEX(Clientes!$B$4:$B$203,MATCH(B121,Clientes!$A$4:$A$203,0)),"Cliente não encontrado"))</f>
        <v/>
      </c>
      <c r="D121" s="18"/>
      <c r="E121" s="22"/>
      <c r="F121" s="23"/>
      <c r="G121" s="26"/>
      <c r="H121" s="22"/>
      <c r="I121" s="22"/>
      <c r="J121" s="24" t="str">
        <f>IF(OR(E121="",F121="",G121=""),"",(1+F121)^(1/12)-1)</f>
        <v/>
      </c>
      <c r="K121" s="25" t="str">
        <f>IF(OR(E121&lt;=0,G121&lt;=0),"",-PMT(J121,G121,E121))</f>
        <v/>
      </c>
      <c r="L121" s="25" t="str">
        <f>IF(K121="","",K121+I121)</f>
        <v/>
      </c>
      <c r="M121" s="25" t="str">
        <f>IF(L121="","",L121*G121+H121)</f>
        <v/>
      </c>
      <c r="N121" s="25" t="str">
        <f>IF(K121="","",K121*G121-E121)</f>
        <v/>
      </c>
      <c r="O121" s="17"/>
      <c r="P121" s="20"/>
      <c r="Q121" s="27" t="str">
        <f>IF(A121="","",IF(COUNTIF($A$4:$A$203,A121)&gt;1,"ID duplicado",IF(COUNTIF(Clientes!$A$4:$A$203,B121)=0,"Cliente não encontrado",IF(OR(E121&lt;=0,G121&lt;=0,F121&lt;0),"Revisar condições","OK"))))</f>
        <v/>
      </c>
    </row>
    <row r="122" spans="1:17" x14ac:dyDescent="0.3">
      <c r="A122" s="17"/>
      <c r="B122" s="17"/>
      <c r="C122" s="21" t="str">
        <f>IF(B122="","",IFERROR(INDEX(Clientes!$B$4:$B$203,MATCH(B122,Clientes!$A$4:$A$203,0)),"Cliente não encontrado"))</f>
        <v/>
      </c>
      <c r="D122" s="18"/>
      <c r="E122" s="22"/>
      <c r="F122" s="23"/>
      <c r="G122" s="26"/>
      <c r="H122" s="22"/>
      <c r="I122" s="22"/>
      <c r="J122" s="24" t="str">
        <f>IF(OR(E122="",F122="",G122=""),"",(1+F122)^(1/12)-1)</f>
        <v/>
      </c>
      <c r="K122" s="25" t="str">
        <f>IF(OR(E122&lt;=0,G122&lt;=0),"",-PMT(J122,G122,E122))</f>
        <v/>
      </c>
      <c r="L122" s="25" t="str">
        <f>IF(K122="","",K122+I122)</f>
        <v/>
      </c>
      <c r="M122" s="25" t="str">
        <f>IF(L122="","",L122*G122+H122)</f>
        <v/>
      </c>
      <c r="N122" s="25" t="str">
        <f>IF(K122="","",K122*G122-E122)</f>
        <v/>
      </c>
      <c r="O122" s="17"/>
      <c r="P122" s="20"/>
      <c r="Q122" s="27" t="str">
        <f>IF(A122="","",IF(COUNTIF($A$4:$A$203,A122)&gt;1,"ID duplicado",IF(COUNTIF(Clientes!$A$4:$A$203,B122)=0,"Cliente não encontrado",IF(OR(E122&lt;=0,G122&lt;=0,F122&lt;0),"Revisar condições","OK"))))</f>
        <v/>
      </c>
    </row>
    <row r="123" spans="1:17" x14ac:dyDescent="0.3">
      <c r="A123" s="17"/>
      <c r="B123" s="17"/>
      <c r="C123" s="21" t="str">
        <f>IF(B123="","",IFERROR(INDEX(Clientes!$B$4:$B$203,MATCH(B123,Clientes!$A$4:$A$203,0)),"Cliente não encontrado"))</f>
        <v/>
      </c>
      <c r="D123" s="18"/>
      <c r="E123" s="22"/>
      <c r="F123" s="23"/>
      <c r="G123" s="26"/>
      <c r="H123" s="22"/>
      <c r="I123" s="22"/>
      <c r="J123" s="24" t="str">
        <f>IF(OR(E123="",F123="",G123=""),"",(1+F123)^(1/12)-1)</f>
        <v/>
      </c>
      <c r="K123" s="25" t="str">
        <f>IF(OR(E123&lt;=0,G123&lt;=0),"",-PMT(J123,G123,E123))</f>
        <v/>
      </c>
      <c r="L123" s="25" t="str">
        <f>IF(K123="","",K123+I123)</f>
        <v/>
      </c>
      <c r="M123" s="25" t="str">
        <f>IF(L123="","",L123*G123+H123)</f>
        <v/>
      </c>
      <c r="N123" s="25" t="str">
        <f>IF(K123="","",K123*G123-E123)</f>
        <v/>
      </c>
      <c r="O123" s="17"/>
      <c r="P123" s="20"/>
      <c r="Q123" s="27" t="str">
        <f>IF(A123="","",IF(COUNTIF($A$4:$A$203,A123)&gt;1,"ID duplicado",IF(COUNTIF(Clientes!$A$4:$A$203,B123)=0,"Cliente não encontrado",IF(OR(E123&lt;=0,G123&lt;=0,F123&lt;0),"Revisar condições","OK"))))</f>
        <v/>
      </c>
    </row>
    <row r="124" spans="1:17" x14ac:dyDescent="0.3">
      <c r="A124" s="17"/>
      <c r="B124" s="17"/>
      <c r="C124" s="21" t="str">
        <f>IF(B124="","",IFERROR(INDEX(Clientes!$B$4:$B$203,MATCH(B124,Clientes!$A$4:$A$203,0)),"Cliente não encontrado"))</f>
        <v/>
      </c>
      <c r="D124" s="18"/>
      <c r="E124" s="22"/>
      <c r="F124" s="23"/>
      <c r="G124" s="26"/>
      <c r="H124" s="22"/>
      <c r="I124" s="22"/>
      <c r="J124" s="24" t="str">
        <f>IF(OR(E124="",F124="",G124=""),"",(1+F124)^(1/12)-1)</f>
        <v/>
      </c>
      <c r="K124" s="25" t="str">
        <f>IF(OR(E124&lt;=0,G124&lt;=0),"",-PMT(J124,G124,E124))</f>
        <v/>
      </c>
      <c r="L124" s="25" t="str">
        <f>IF(K124="","",K124+I124)</f>
        <v/>
      </c>
      <c r="M124" s="25" t="str">
        <f>IF(L124="","",L124*G124+H124)</f>
        <v/>
      </c>
      <c r="N124" s="25" t="str">
        <f>IF(K124="","",K124*G124-E124)</f>
        <v/>
      </c>
      <c r="O124" s="17"/>
      <c r="P124" s="20"/>
      <c r="Q124" s="27" t="str">
        <f>IF(A124="","",IF(COUNTIF($A$4:$A$203,A124)&gt;1,"ID duplicado",IF(COUNTIF(Clientes!$A$4:$A$203,B124)=0,"Cliente não encontrado",IF(OR(E124&lt;=0,G124&lt;=0,F124&lt;0),"Revisar condições","OK"))))</f>
        <v/>
      </c>
    </row>
    <row r="125" spans="1:17" x14ac:dyDescent="0.3">
      <c r="A125" s="17"/>
      <c r="B125" s="17"/>
      <c r="C125" s="21" t="str">
        <f>IF(B125="","",IFERROR(INDEX(Clientes!$B$4:$B$203,MATCH(B125,Clientes!$A$4:$A$203,0)),"Cliente não encontrado"))</f>
        <v/>
      </c>
      <c r="D125" s="18"/>
      <c r="E125" s="22"/>
      <c r="F125" s="23"/>
      <c r="G125" s="26"/>
      <c r="H125" s="22"/>
      <c r="I125" s="22"/>
      <c r="J125" s="24" t="str">
        <f>IF(OR(E125="",F125="",G125=""),"",(1+F125)^(1/12)-1)</f>
        <v/>
      </c>
      <c r="K125" s="25" t="str">
        <f>IF(OR(E125&lt;=0,G125&lt;=0),"",-PMT(J125,G125,E125))</f>
        <v/>
      </c>
      <c r="L125" s="25" t="str">
        <f>IF(K125="","",K125+I125)</f>
        <v/>
      </c>
      <c r="M125" s="25" t="str">
        <f>IF(L125="","",L125*G125+H125)</f>
        <v/>
      </c>
      <c r="N125" s="25" t="str">
        <f>IF(K125="","",K125*G125-E125)</f>
        <v/>
      </c>
      <c r="O125" s="17"/>
      <c r="P125" s="20"/>
      <c r="Q125" s="27" t="str">
        <f>IF(A125="","",IF(COUNTIF($A$4:$A$203,A125)&gt;1,"ID duplicado",IF(COUNTIF(Clientes!$A$4:$A$203,B125)=0,"Cliente não encontrado",IF(OR(E125&lt;=0,G125&lt;=0,F125&lt;0),"Revisar condições","OK"))))</f>
        <v/>
      </c>
    </row>
    <row r="126" spans="1:17" x14ac:dyDescent="0.3">
      <c r="A126" s="17"/>
      <c r="B126" s="17"/>
      <c r="C126" s="21" t="str">
        <f>IF(B126="","",IFERROR(INDEX(Clientes!$B$4:$B$203,MATCH(B126,Clientes!$A$4:$A$203,0)),"Cliente não encontrado"))</f>
        <v/>
      </c>
      <c r="D126" s="18"/>
      <c r="E126" s="22"/>
      <c r="F126" s="23"/>
      <c r="G126" s="26"/>
      <c r="H126" s="22"/>
      <c r="I126" s="22"/>
      <c r="J126" s="24" t="str">
        <f>IF(OR(E126="",F126="",G126=""),"",(1+F126)^(1/12)-1)</f>
        <v/>
      </c>
      <c r="K126" s="25" t="str">
        <f>IF(OR(E126&lt;=0,G126&lt;=0),"",-PMT(J126,G126,E126))</f>
        <v/>
      </c>
      <c r="L126" s="25" t="str">
        <f>IF(K126="","",K126+I126)</f>
        <v/>
      </c>
      <c r="M126" s="25" t="str">
        <f>IF(L126="","",L126*G126+H126)</f>
        <v/>
      </c>
      <c r="N126" s="25" t="str">
        <f>IF(K126="","",K126*G126-E126)</f>
        <v/>
      </c>
      <c r="O126" s="17"/>
      <c r="P126" s="20"/>
      <c r="Q126" s="27" t="str">
        <f>IF(A126="","",IF(COUNTIF($A$4:$A$203,A126)&gt;1,"ID duplicado",IF(COUNTIF(Clientes!$A$4:$A$203,B126)=0,"Cliente não encontrado",IF(OR(E126&lt;=0,G126&lt;=0,F126&lt;0),"Revisar condições","OK"))))</f>
        <v/>
      </c>
    </row>
    <row r="127" spans="1:17" x14ac:dyDescent="0.3">
      <c r="A127" s="17"/>
      <c r="B127" s="17"/>
      <c r="C127" s="21" t="str">
        <f>IF(B127="","",IFERROR(INDEX(Clientes!$B$4:$B$203,MATCH(B127,Clientes!$A$4:$A$203,0)),"Cliente não encontrado"))</f>
        <v/>
      </c>
      <c r="D127" s="18"/>
      <c r="E127" s="22"/>
      <c r="F127" s="23"/>
      <c r="G127" s="26"/>
      <c r="H127" s="22"/>
      <c r="I127" s="22"/>
      <c r="J127" s="24" t="str">
        <f>IF(OR(E127="",F127="",G127=""),"",(1+F127)^(1/12)-1)</f>
        <v/>
      </c>
      <c r="K127" s="25" t="str">
        <f>IF(OR(E127&lt;=0,G127&lt;=0),"",-PMT(J127,G127,E127))</f>
        <v/>
      </c>
      <c r="L127" s="25" t="str">
        <f>IF(K127="","",K127+I127)</f>
        <v/>
      </c>
      <c r="M127" s="25" t="str">
        <f>IF(L127="","",L127*G127+H127)</f>
        <v/>
      </c>
      <c r="N127" s="25" t="str">
        <f>IF(K127="","",K127*G127-E127)</f>
        <v/>
      </c>
      <c r="O127" s="17"/>
      <c r="P127" s="20"/>
      <c r="Q127" s="27" t="str">
        <f>IF(A127="","",IF(COUNTIF($A$4:$A$203,A127)&gt;1,"ID duplicado",IF(COUNTIF(Clientes!$A$4:$A$203,B127)=0,"Cliente não encontrado",IF(OR(E127&lt;=0,G127&lt;=0,F127&lt;0),"Revisar condições","OK"))))</f>
        <v/>
      </c>
    </row>
    <row r="128" spans="1:17" x14ac:dyDescent="0.3">
      <c r="A128" s="17"/>
      <c r="B128" s="17"/>
      <c r="C128" s="21" t="str">
        <f>IF(B128="","",IFERROR(INDEX(Clientes!$B$4:$B$203,MATCH(B128,Clientes!$A$4:$A$203,0)),"Cliente não encontrado"))</f>
        <v/>
      </c>
      <c r="D128" s="18"/>
      <c r="E128" s="22"/>
      <c r="F128" s="23"/>
      <c r="G128" s="26"/>
      <c r="H128" s="22"/>
      <c r="I128" s="22"/>
      <c r="J128" s="24" t="str">
        <f>IF(OR(E128="",F128="",G128=""),"",(1+F128)^(1/12)-1)</f>
        <v/>
      </c>
      <c r="K128" s="25" t="str">
        <f>IF(OR(E128&lt;=0,G128&lt;=0),"",-PMT(J128,G128,E128))</f>
        <v/>
      </c>
      <c r="L128" s="25" t="str">
        <f>IF(K128="","",K128+I128)</f>
        <v/>
      </c>
      <c r="M128" s="25" t="str">
        <f>IF(L128="","",L128*G128+H128)</f>
        <v/>
      </c>
      <c r="N128" s="25" t="str">
        <f>IF(K128="","",K128*G128-E128)</f>
        <v/>
      </c>
      <c r="O128" s="17"/>
      <c r="P128" s="20"/>
      <c r="Q128" s="27" t="str">
        <f>IF(A128="","",IF(COUNTIF($A$4:$A$203,A128)&gt;1,"ID duplicado",IF(COUNTIF(Clientes!$A$4:$A$203,B128)=0,"Cliente não encontrado",IF(OR(E128&lt;=0,G128&lt;=0,F128&lt;0),"Revisar condições","OK"))))</f>
        <v/>
      </c>
    </row>
    <row r="129" spans="1:17" x14ac:dyDescent="0.3">
      <c r="A129" s="17"/>
      <c r="B129" s="17"/>
      <c r="C129" s="21" t="str">
        <f>IF(B129="","",IFERROR(INDEX(Clientes!$B$4:$B$203,MATCH(B129,Clientes!$A$4:$A$203,0)),"Cliente não encontrado"))</f>
        <v/>
      </c>
      <c r="D129" s="18"/>
      <c r="E129" s="22"/>
      <c r="F129" s="23"/>
      <c r="G129" s="26"/>
      <c r="H129" s="22"/>
      <c r="I129" s="22"/>
      <c r="J129" s="24" t="str">
        <f>IF(OR(E129="",F129="",G129=""),"",(1+F129)^(1/12)-1)</f>
        <v/>
      </c>
      <c r="K129" s="25" t="str">
        <f>IF(OR(E129&lt;=0,G129&lt;=0),"",-PMT(J129,G129,E129))</f>
        <v/>
      </c>
      <c r="L129" s="25" t="str">
        <f>IF(K129="","",K129+I129)</f>
        <v/>
      </c>
      <c r="M129" s="25" t="str">
        <f>IF(L129="","",L129*G129+H129)</f>
        <v/>
      </c>
      <c r="N129" s="25" t="str">
        <f>IF(K129="","",K129*G129-E129)</f>
        <v/>
      </c>
      <c r="O129" s="17"/>
      <c r="P129" s="20"/>
      <c r="Q129" s="27" t="str">
        <f>IF(A129="","",IF(COUNTIF($A$4:$A$203,A129)&gt;1,"ID duplicado",IF(COUNTIF(Clientes!$A$4:$A$203,B129)=0,"Cliente não encontrado",IF(OR(E129&lt;=0,G129&lt;=0,F129&lt;0),"Revisar condições","OK"))))</f>
        <v/>
      </c>
    </row>
    <row r="130" spans="1:17" x14ac:dyDescent="0.3">
      <c r="A130" s="17"/>
      <c r="B130" s="17"/>
      <c r="C130" s="21" t="str">
        <f>IF(B130="","",IFERROR(INDEX(Clientes!$B$4:$B$203,MATCH(B130,Clientes!$A$4:$A$203,0)),"Cliente não encontrado"))</f>
        <v/>
      </c>
      <c r="D130" s="18"/>
      <c r="E130" s="22"/>
      <c r="F130" s="23"/>
      <c r="G130" s="26"/>
      <c r="H130" s="22"/>
      <c r="I130" s="22"/>
      <c r="J130" s="24" t="str">
        <f>IF(OR(E130="",F130="",G130=""),"",(1+F130)^(1/12)-1)</f>
        <v/>
      </c>
      <c r="K130" s="25" t="str">
        <f>IF(OR(E130&lt;=0,G130&lt;=0),"",-PMT(J130,G130,E130))</f>
        <v/>
      </c>
      <c r="L130" s="25" t="str">
        <f>IF(K130="","",K130+I130)</f>
        <v/>
      </c>
      <c r="M130" s="25" t="str">
        <f>IF(L130="","",L130*G130+H130)</f>
        <v/>
      </c>
      <c r="N130" s="25" t="str">
        <f>IF(K130="","",K130*G130-E130)</f>
        <v/>
      </c>
      <c r="O130" s="17"/>
      <c r="P130" s="20"/>
      <c r="Q130" s="27" t="str">
        <f>IF(A130="","",IF(COUNTIF($A$4:$A$203,A130)&gt;1,"ID duplicado",IF(COUNTIF(Clientes!$A$4:$A$203,B130)=0,"Cliente não encontrado",IF(OR(E130&lt;=0,G130&lt;=0,F130&lt;0),"Revisar condições","OK"))))</f>
        <v/>
      </c>
    </row>
    <row r="131" spans="1:17" x14ac:dyDescent="0.3">
      <c r="A131" s="17"/>
      <c r="B131" s="17"/>
      <c r="C131" s="21" t="str">
        <f>IF(B131="","",IFERROR(INDEX(Clientes!$B$4:$B$203,MATCH(B131,Clientes!$A$4:$A$203,0)),"Cliente não encontrado"))</f>
        <v/>
      </c>
      <c r="D131" s="18"/>
      <c r="E131" s="22"/>
      <c r="F131" s="23"/>
      <c r="G131" s="26"/>
      <c r="H131" s="22"/>
      <c r="I131" s="22"/>
      <c r="J131" s="24" t="str">
        <f>IF(OR(E131="",F131="",G131=""),"",(1+F131)^(1/12)-1)</f>
        <v/>
      </c>
      <c r="K131" s="25" t="str">
        <f>IF(OR(E131&lt;=0,G131&lt;=0),"",-PMT(J131,G131,E131))</f>
        <v/>
      </c>
      <c r="L131" s="25" t="str">
        <f>IF(K131="","",K131+I131)</f>
        <v/>
      </c>
      <c r="M131" s="25" t="str">
        <f>IF(L131="","",L131*G131+H131)</f>
        <v/>
      </c>
      <c r="N131" s="25" t="str">
        <f>IF(K131="","",K131*G131-E131)</f>
        <v/>
      </c>
      <c r="O131" s="17"/>
      <c r="P131" s="20"/>
      <c r="Q131" s="27" t="str">
        <f>IF(A131="","",IF(COUNTIF($A$4:$A$203,A131)&gt;1,"ID duplicado",IF(COUNTIF(Clientes!$A$4:$A$203,B131)=0,"Cliente não encontrado",IF(OR(E131&lt;=0,G131&lt;=0,F131&lt;0),"Revisar condições","OK"))))</f>
        <v/>
      </c>
    </row>
    <row r="132" spans="1:17" x14ac:dyDescent="0.3">
      <c r="A132" s="17"/>
      <c r="B132" s="17"/>
      <c r="C132" s="21" t="str">
        <f>IF(B132="","",IFERROR(INDEX(Clientes!$B$4:$B$203,MATCH(B132,Clientes!$A$4:$A$203,0)),"Cliente não encontrado"))</f>
        <v/>
      </c>
      <c r="D132" s="18"/>
      <c r="E132" s="22"/>
      <c r="F132" s="23"/>
      <c r="G132" s="26"/>
      <c r="H132" s="22"/>
      <c r="I132" s="22"/>
      <c r="J132" s="24" t="str">
        <f>IF(OR(E132="",F132="",G132=""),"",(1+F132)^(1/12)-1)</f>
        <v/>
      </c>
      <c r="K132" s="25" t="str">
        <f>IF(OR(E132&lt;=0,G132&lt;=0),"",-PMT(J132,G132,E132))</f>
        <v/>
      </c>
      <c r="L132" s="25" t="str">
        <f>IF(K132="","",K132+I132)</f>
        <v/>
      </c>
      <c r="M132" s="25" t="str">
        <f>IF(L132="","",L132*G132+H132)</f>
        <v/>
      </c>
      <c r="N132" s="25" t="str">
        <f>IF(K132="","",K132*G132-E132)</f>
        <v/>
      </c>
      <c r="O132" s="17"/>
      <c r="P132" s="20"/>
      <c r="Q132" s="27" t="str">
        <f>IF(A132="","",IF(COUNTIF($A$4:$A$203,A132)&gt;1,"ID duplicado",IF(COUNTIF(Clientes!$A$4:$A$203,B132)=0,"Cliente não encontrado",IF(OR(E132&lt;=0,G132&lt;=0,F132&lt;0),"Revisar condições","OK"))))</f>
        <v/>
      </c>
    </row>
    <row r="133" spans="1:17" x14ac:dyDescent="0.3">
      <c r="A133" s="17"/>
      <c r="B133" s="17"/>
      <c r="C133" s="21" t="str">
        <f>IF(B133="","",IFERROR(INDEX(Clientes!$B$4:$B$203,MATCH(B133,Clientes!$A$4:$A$203,0)),"Cliente não encontrado"))</f>
        <v/>
      </c>
      <c r="D133" s="18"/>
      <c r="E133" s="22"/>
      <c r="F133" s="23"/>
      <c r="G133" s="26"/>
      <c r="H133" s="22"/>
      <c r="I133" s="22"/>
      <c r="J133" s="24" t="str">
        <f>IF(OR(E133="",F133="",G133=""),"",(1+F133)^(1/12)-1)</f>
        <v/>
      </c>
      <c r="K133" s="25" t="str">
        <f>IF(OR(E133&lt;=0,G133&lt;=0),"",-PMT(J133,G133,E133))</f>
        <v/>
      </c>
      <c r="L133" s="25" t="str">
        <f>IF(K133="","",K133+I133)</f>
        <v/>
      </c>
      <c r="M133" s="25" t="str">
        <f>IF(L133="","",L133*G133+H133)</f>
        <v/>
      </c>
      <c r="N133" s="25" t="str">
        <f>IF(K133="","",K133*G133-E133)</f>
        <v/>
      </c>
      <c r="O133" s="17"/>
      <c r="P133" s="20"/>
      <c r="Q133" s="27" t="str">
        <f>IF(A133="","",IF(COUNTIF($A$4:$A$203,A133)&gt;1,"ID duplicado",IF(COUNTIF(Clientes!$A$4:$A$203,B133)=0,"Cliente não encontrado",IF(OR(E133&lt;=0,G133&lt;=0,F133&lt;0),"Revisar condições","OK"))))</f>
        <v/>
      </c>
    </row>
    <row r="134" spans="1:17" x14ac:dyDescent="0.3">
      <c r="A134" s="17"/>
      <c r="B134" s="17"/>
      <c r="C134" s="21" t="str">
        <f>IF(B134="","",IFERROR(INDEX(Clientes!$B$4:$B$203,MATCH(B134,Clientes!$A$4:$A$203,0)),"Cliente não encontrado"))</f>
        <v/>
      </c>
      <c r="D134" s="18"/>
      <c r="E134" s="22"/>
      <c r="F134" s="23"/>
      <c r="G134" s="26"/>
      <c r="H134" s="22"/>
      <c r="I134" s="22"/>
      <c r="J134" s="24" t="str">
        <f>IF(OR(E134="",F134="",G134=""),"",(1+F134)^(1/12)-1)</f>
        <v/>
      </c>
      <c r="K134" s="25" t="str">
        <f>IF(OR(E134&lt;=0,G134&lt;=0),"",-PMT(J134,G134,E134))</f>
        <v/>
      </c>
      <c r="L134" s="25" t="str">
        <f>IF(K134="","",K134+I134)</f>
        <v/>
      </c>
      <c r="M134" s="25" t="str">
        <f>IF(L134="","",L134*G134+H134)</f>
        <v/>
      </c>
      <c r="N134" s="25" t="str">
        <f>IF(K134="","",K134*G134-E134)</f>
        <v/>
      </c>
      <c r="O134" s="17"/>
      <c r="P134" s="20"/>
      <c r="Q134" s="27" t="str">
        <f>IF(A134="","",IF(COUNTIF($A$4:$A$203,A134)&gt;1,"ID duplicado",IF(COUNTIF(Clientes!$A$4:$A$203,B134)=0,"Cliente não encontrado",IF(OR(E134&lt;=0,G134&lt;=0,F134&lt;0),"Revisar condições","OK"))))</f>
        <v/>
      </c>
    </row>
    <row r="135" spans="1:17" x14ac:dyDescent="0.3">
      <c r="A135" s="17"/>
      <c r="B135" s="17"/>
      <c r="C135" s="21" t="str">
        <f>IF(B135="","",IFERROR(INDEX(Clientes!$B$4:$B$203,MATCH(B135,Clientes!$A$4:$A$203,0)),"Cliente não encontrado"))</f>
        <v/>
      </c>
      <c r="D135" s="18"/>
      <c r="E135" s="22"/>
      <c r="F135" s="23"/>
      <c r="G135" s="26"/>
      <c r="H135" s="22"/>
      <c r="I135" s="22"/>
      <c r="J135" s="24" t="str">
        <f>IF(OR(E135="",F135="",G135=""),"",(1+F135)^(1/12)-1)</f>
        <v/>
      </c>
      <c r="K135" s="25" t="str">
        <f>IF(OR(E135&lt;=0,G135&lt;=0),"",-PMT(J135,G135,E135))</f>
        <v/>
      </c>
      <c r="L135" s="25" t="str">
        <f>IF(K135="","",K135+I135)</f>
        <v/>
      </c>
      <c r="M135" s="25" t="str">
        <f>IF(L135="","",L135*G135+H135)</f>
        <v/>
      </c>
      <c r="N135" s="25" t="str">
        <f>IF(K135="","",K135*G135-E135)</f>
        <v/>
      </c>
      <c r="O135" s="17"/>
      <c r="P135" s="20"/>
      <c r="Q135" s="27" t="str">
        <f>IF(A135="","",IF(COUNTIF($A$4:$A$203,A135)&gt;1,"ID duplicado",IF(COUNTIF(Clientes!$A$4:$A$203,B135)=0,"Cliente não encontrado",IF(OR(E135&lt;=0,G135&lt;=0,F135&lt;0),"Revisar condições","OK"))))</f>
        <v/>
      </c>
    </row>
    <row r="136" spans="1:17" x14ac:dyDescent="0.3">
      <c r="A136" s="17"/>
      <c r="B136" s="17"/>
      <c r="C136" s="21" t="str">
        <f>IF(B136="","",IFERROR(INDEX(Clientes!$B$4:$B$203,MATCH(B136,Clientes!$A$4:$A$203,0)),"Cliente não encontrado"))</f>
        <v/>
      </c>
      <c r="D136" s="18"/>
      <c r="E136" s="22"/>
      <c r="F136" s="23"/>
      <c r="G136" s="26"/>
      <c r="H136" s="22"/>
      <c r="I136" s="22"/>
      <c r="J136" s="24" t="str">
        <f>IF(OR(E136="",F136="",G136=""),"",(1+F136)^(1/12)-1)</f>
        <v/>
      </c>
      <c r="K136" s="25" t="str">
        <f>IF(OR(E136&lt;=0,G136&lt;=0),"",-PMT(J136,G136,E136))</f>
        <v/>
      </c>
      <c r="L136" s="25" t="str">
        <f>IF(K136="","",K136+I136)</f>
        <v/>
      </c>
      <c r="M136" s="25" t="str">
        <f>IF(L136="","",L136*G136+H136)</f>
        <v/>
      </c>
      <c r="N136" s="25" t="str">
        <f>IF(K136="","",K136*G136-E136)</f>
        <v/>
      </c>
      <c r="O136" s="17"/>
      <c r="P136" s="20"/>
      <c r="Q136" s="27" t="str">
        <f>IF(A136="","",IF(COUNTIF($A$4:$A$203,A136)&gt;1,"ID duplicado",IF(COUNTIF(Clientes!$A$4:$A$203,B136)=0,"Cliente não encontrado",IF(OR(E136&lt;=0,G136&lt;=0,F136&lt;0),"Revisar condições","OK"))))</f>
        <v/>
      </c>
    </row>
    <row r="137" spans="1:17" x14ac:dyDescent="0.3">
      <c r="A137" s="17"/>
      <c r="B137" s="17"/>
      <c r="C137" s="21" t="str">
        <f>IF(B137="","",IFERROR(INDEX(Clientes!$B$4:$B$203,MATCH(B137,Clientes!$A$4:$A$203,0)),"Cliente não encontrado"))</f>
        <v/>
      </c>
      <c r="D137" s="18"/>
      <c r="E137" s="22"/>
      <c r="F137" s="23"/>
      <c r="G137" s="26"/>
      <c r="H137" s="22"/>
      <c r="I137" s="22"/>
      <c r="J137" s="24" t="str">
        <f>IF(OR(E137="",F137="",G137=""),"",(1+F137)^(1/12)-1)</f>
        <v/>
      </c>
      <c r="K137" s="25" t="str">
        <f>IF(OR(E137&lt;=0,G137&lt;=0),"",-PMT(J137,G137,E137))</f>
        <v/>
      </c>
      <c r="L137" s="25" t="str">
        <f>IF(K137="","",K137+I137)</f>
        <v/>
      </c>
      <c r="M137" s="25" t="str">
        <f>IF(L137="","",L137*G137+H137)</f>
        <v/>
      </c>
      <c r="N137" s="25" t="str">
        <f>IF(K137="","",K137*G137-E137)</f>
        <v/>
      </c>
      <c r="O137" s="17"/>
      <c r="P137" s="20"/>
      <c r="Q137" s="27" t="str">
        <f>IF(A137="","",IF(COUNTIF($A$4:$A$203,A137)&gt;1,"ID duplicado",IF(COUNTIF(Clientes!$A$4:$A$203,B137)=0,"Cliente não encontrado",IF(OR(E137&lt;=0,G137&lt;=0,F137&lt;0),"Revisar condições","OK"))))</f>
        <v/>
      </c>
    </row>
    <row r="138" spans="1:17" x14ac:dyDescent="0.3">
      <c r="A138" s="17"/>
      <c r="B138" s="17"/>
      <c r="C138" s="21" t="str">
        <f>IF(B138="","",IFERROR(INDEX(Clientes!$B$4:$B$203,MATCH(B138,Clientes!$A$4:$A$203,0)),"Cliente não encontrado"))</f>
        <v/>
      </c>
      <c r="D138" s="18"/>
      <c r="E138" s="22"/>
      <c r="F138" s="23"/>
      <c r="G138" s="26"/>
      <c r="H138" s="22"/>
      <c r="I138" s="22"/>
      <c r="J138" s="24" t="str">
        <f>IF(OR(E138="",F138="",G138=""),"",(1+F138)^(1/12)-1)</f>
        <v/>
      </c>
      <c r="K138" s="25" t="str">
        <f>IF(OR(E138&lt;=0,G138&lt;=0),"",-PMT(J138,G138,E138))</f>
        <v/>
      </c>
      <c r="L138" s="25" t="str">
        <f>IF(K138="","",K138+I138)</f>
        <v/>
      </c>
      <c r="M138" s="25" t="str">
        <f>IF(L138="","",L138*G138+H138)</f>
        <v/>
      </c>
      <c r="N138" s="25" t="str">
        <f>IF(K138="","",K138*G138-E138)</f>
        <v/>
      </c>
      <c r="O138" s="17"/>
      <c r="P138" s="20"/>
      <c r="Q138" s="27" t="str">
        <f>IF(A138="","",IF(COUNTIF($A$4:$A$203,A138)&gt;1,"ID duplicado",IF(COUNTIF(Clientes!$A$4:$A$203,B138)=0,"Cliente não encontrado",IF(OR(E138&lt;=0,G138&lt;=0,F138&lt;0),"Revisar condições","OK"))))</f>
        <v/>
      </c>
    </row>
    <row r="139" spans="1:17" x14ac:dyDescent="0.3">
      <c r="A139" s="17"/>
      <c r="B139" s="17"/>
      <c r="C139" s="21" t="str">
        <f>IF(B139="","",IFERROR(INDEX(Clientes!$B$4:$B$203,MATCH(B139,Clientes!$A$4:$A$203,0)),"Cliente não encontrado"))</f>
        <v/>
      </c>
      <c r="D139" s="18"/>
      <c r="E139" s="22"/>
      <c r="F139" s="23"/>
      <c r="G139" s="26"/>
      <c r="H139" s="22"/>
      <c r="I139" s="22"/>
      <c r="J139" s="24" t="str">
        <f>IF(OR(E139="",F139="",G139=""),"",(1+F139)^(1/12)-1)</f>
        <v/>
      </c>
      <c r="K139" s="25" t="str">
        <f>IF(OR(E139&lt;=0,G139&lt;=0),"",-PMT(J139,G139,E139))</f>
        <v/>
      </c>
      <c r="L139" s="25" t="str">
        <f>IF(K139="","",K139+I139)</f>
        <v/>
      </c>
      <c r="M139" s="25" t="str">
        <f>IF(L139="","",L139*G139+H139)</f>
        <v/>
      </c>
      <c r="N139" s="25" t="str">
        <f>IF(K139="","",K139*G139-E139)</f>
        <v/>
      </c>
      <c r="O139" s="17"/>
      <c r="P139" s="20"/>
      <c r="Q139" s="27" t="str">
        <f>IF(A139="","",IF(COUNTIF($A$4:$A$203,A139)&gt;1,"ID duplicado",IF(COUNTIF(Clientes!$A$4:$A$203,B139)=0,"Cliente não encontrado",IF(OR(E139&lt;=0,G139&lt;=0,F139&lt;0),"Revisar condições","OK"))))</f>
        <v/>
      </c>
    </row>
    <row r="140" spans="1:17" x14ac:dyDescent="0.3">
      <c r="A140" s="17"/>
      <c r="B140" s="17"/>
      <c r="C140" s="21" t="str">
        <f>IF(B140="","",IFERROR(INDEX(Clientes!$B$4:$B$203,MATCH(B140,Clientes!$A$4:$A$203,0)),"Cliente não encontrado"))</f>
        <v/>
      </c>
      <c r="D140" s="18"/>
      <c r="E140" s="22"/>
      <c r="F140" s="23"/>
      <c r="G140" s="26"/>
      <c r="H140" s="22"/>
      <c r="I140" s="22"/>
      <c r="J140" s="24" t="str">
        <f>IF(OR(E140="",F140="",G140=""),"",(1+F140)^(1/12)-1)</f>
        <v/>
      </c>
      <c r="K140" s="25" t="str">
        <f>IF(OR(E140&lt;=0,G140&lt;=0),"",-PMT(J140,G140,E140))</f>
        <v/>
      </c>
      <c r="L140" s="25" t="str">
        <f>IF(K140="","",K140+I140)</f>
        <v/>
      </c>
      <c r="M140" s="25" t="str">
        <f>IF(L140="","",L140*G140+H140)</f>
        <v/>
      </c>
      <c r="N140" s="25" t="str">
        <f>IF(K140="","",K140*G140-E140)</f>
        <v/>
      </c>
      <c r="O140" s="17"/>
      <c r="P140" s="20"/>
      <c r="Q140" s="27" t="str">
        <f>IF(A140="","",IF(COUNTIF($A$4:$A$203,A140)&gt;1,"ID duplicado",IF(COUNTIF(Clientes!$A$4:$A$203,B140)=0,"Cliente não encontrado",IF(OR(E140&lt;=0,G140&lt;=0,F140&lt;0),"Revisar condições","OK"))))</f>
        <v/>
      </c>
    </row>
    <row r="141" spans="1:17" x14ac:dyDescent="0.3">
      <c r="A141" s="17"/>
      <c r="B141" s="17"/>
      <c r="C141" s="21" t="str">
        <f>IF(B141="","",IFERROR(INDEX(Clientes!$B$4:$B$203,MATCH(B141,Clientes!$A$4:$A$203,0)),"Cliente não encontrado"))</f>
        <v/>
      </c>
      <c r="D141" s="18"/>
      <c r="E141" s="22"/>
      <c r="F141" s="23"/>
      <c r="G141" s="26"/>
      <c r="H141" s="22"/>
      <c r="I141" s="22"/>
      <c r="J141" s="24" t="str">
        <f>IF(OR(E141="",F141="",G141=""),"",(1+F141)^(1/12)-1)</f>
        <v/>
      </c>
      <c r="K141" s="25" t="str">
        <f>IF(OR(E141&lt;=0,G141&lt;=0),"",-PMT(J141,G141,E141))</f>
        <v/>
      </c>
      <c r="L141" s="25" t="str">
        <f>IF(K141="","",K141+I141)</f>
        <v/>
      </c>
      <c r="M141" s="25" t="str">
        <f>IF(L141="","",L141*G141+H141)</f>
        <v/>
      </c>
      <c r="N141" s="25" t="str">
        <f>IF(K141="","",K141*G141-E141)</f>
        <v/>
      </c>
      <c r="O141" s="17"/>
      <c r="P141" s="20"/>
      <c r="Q141" s="27" t="str">
        <f>IF(A141="","",IF(COUNTIF($A$4:$A$203,A141)&gt;1,"ID duplicado",IF(COUNTIF(Clientes!$A$4:$A$203,B141)=0,"Cliente não encontrado",IF(OR(E141&lt;=0,G141&lt;=0,F141&lt;0),"Revisar condições","OK"))))</f>
        <v/>
      </c>
    </row>
    <row r="142" spans="1:17" x14ac:dyDescent="0.3">
      <c r="A142" s="17"/>
      <c r="B142" s="17"/>
      <c r="C142" s="21" t="str">
        <f>IF(B142="","",IFERROR(INDEX(Clientes!$B$4:$B$203,MATCH(B142,Clientes!$A$4:$A$203,0)),"Cliente não encontrado"))</f>
        <v/>
      </c>
      <c r="D142" s="18"/>
      <c r="E142" s="22"/>
      <c r="F142" s="23"/>
      <c r="G142" s="26"/>
      <c r="H142" s="22"/>
      <c r="I142" s="22"/>
      <c r="J142" s="24" t="str">
        <f>IF(OR(E142="",F142="",G142=""),"",(1+F142)^(1/12)-1)</f>
        <v/>
      </c>
      <c r="K142" s="25" t="str">
        <f>IF(OR(E142&lt;=0,G142&lt;=0),"",-PMT(J142,G142,E142))</f>
        <v/>
      </c>
      <c r="L142" s="25" t="str">
        <f>IF(K142="","",K142+I142)</f>
        <v/>
      </c>
      <c r="M142" s="25" t="str">
        <f>IF(L142="","",L142*G142+H142)</f>
        <v/>
      </c>
      <c r="N142" s="25" t="str">
        <f>IF(K142="","",K142*G142-E142)</f>
        <v/>
      </c>
      <c r="O142" s="17"/>
      <c r="P142" s="20"/>
      <c r="Q142" s="27" t="str">
        <f>IF(A142="","",IF(COUNTIF($A$4:$A$203,A142)&gt;1,"ID duplicado",IF(COUNTIF(Clientes!$A$4:$A$203,B142)=0,"Cliente não encontrado",IF(OR(E142&lt;=0,G142&lt;=0,F142&lt;0),"Revisar condições","OK"))))</f>
        <v/>
      </c>
    </row>
    <row r="143" spans="1:17" x14ac:dyDescent="0.3">
      <c r="A143" s="17"/>
      <c r="B143" s="17"/>
      <c r="C143" s="21" t="str">
        <f>IF(B143="","",IFERROR(INDEX(Clientes!$B$4:$B$203,MATCH(B143,Clientes!$A$4:$A$203,0)),"Cliente não encontrado"))</f>
        <v/>
      </c>
      <c r="D143" s="18"/>
      <c r="E143" s="22"/>
      <c r="F143" s="23"/>
      <c r="G143" s="26"/>
      <c r="H143" s="22"/>
      <c r="I143" s="22"/>
      <c r="J143" s="24" t="str">
        <f>IF(OR(E143="",F143="",G143=""),"",(1+F143)^(1/12)-1)</f>
        <v/>
      </c>
      <c r="K143" s="25" t="str">
        <f>IF(OR(E143&lt;=0,G143&lt;=0),"",-PMT(J143,G143,E143))</f>
        <v/>
      </c>
      <c r="L143" s="25" t="str">
        <f>IF(K143="","",K143+I143)</f>
        <v/>
      </c>
      <c r="M143" s="25" t="str">
        <f>IF(L143="","",L143*G143+H143)</f>
        <v/>
      </c>
      <c r="N143" s="25" t="str">
        <f>IF(K143="","",K143*G143-E143)</f>
        <v/>
      </c>
      <c r="O143" s="17"/>
      <c r="P143" s="20"/>
      <c r="Q143" s="27" t="str">
        <f>IF(A143="","",IF(COUNTIF($A$4:$A$203,A143)&gt;1,"ID duplicado",IF(COUNTIF(Clientes!$A$4:$A$203,B143)=0,"Cliente não encontrado",IF(OR(E143&lt;=0,G143&lt;=0,F143&lt;0),"Revisar condições","OK"))))</f>
        <v/>
      </c>
    </row>
    <row r="144" spans="1:17" x14ac:dyDescent="0.3">
      <c r="A144" s="17"/>
      <c r="B144" s="17"/>
      <c r="C144" s="21" t="str">
        <f>IF(B144="","",IFERROR(INDEX(Clientes!$B$4:$B$203,MATCH(B144,Clientes!$A$4:$A$203,0)),"Cliente não encontrado"))</f>
        <v/>
      </c>
      <c r="D144" s="18"/>
      <c r="E144" s="22"/>
      <c r="F144" s="23"/>
      <c r="G144" s="26"/>
      <c r="H144" s="22"/>
      <c r="I144" s="22"/>
      <c r="J144" s="24" t="str">
        <f>IF(OR(E144="",F144="",G144=""),"",(1+F144)^(1/12)-1)</f>
        <v/>
      </c>
      <c r="K144" s="25" t="str">
        <f>IF(OR(E144&lt;=0,G144&lt;=0),"",-PMT(J144,G144,E144))</f>
        <v/>
      </c>
      <c r="L144" s="25" t="str">
        <f>IF(K144="","",K144+I144)</f>
        <v/>
      </c>
      <c r="M144" s="25" t="str">
        <f>IF(L144="","",L144*G144+H144)</f>
        <v/>
      </c>
      <c r="N144" s="25" t="str">
        <f>IF(K144="","",K144*G144-E144)</f>
        <v/>
      </c>
      <c r="O144" s="17"/>
      <c r="P144" s="20"/>
      <c r="Q144" s="27" t="str">
        <f>IF(A144="","",IF(COUNTIF($A$4:$A$203,A144)&gt;1,"ID duplicado",IF(COUNTIF(Clientes!$A$4:$A$203,B144)=0,"Cliente não encontrado",IF(OR(E144&lt;=0,G144&lt;=0,F144&lt;0),"Revisar condições","OK"))))</f>
        <v/>
      </c>
    </row>
    <row r="145" spans="1:17" x14ac:dyDescent="0.3">
      <c r="A145" s="17"/>
      <c r="B145" s="17"/>
      <c r="C145" s="21" t="str">
        <f>IF(B145="","",IFERROR(INDEX(Clientes!$B$4:$B$203,MATCH(B145,Clientes!$A$4:$A$203,0)),"Cliente não encontrado"))</f>
        <v/>
      </c>
      <c r="D145" s="18"/>
      <c r="E145" s="22"/>
      <c r="F145" s="23"/>
      <c r="G145" s="26"/>
      <c r="H145" s="22"/>
      <c r="I145" s="22"/>
      <c r="J145" s="24" t="str">
        <f>IF(OR(E145="",F145="",G145=""),"",(1+F145)^(1/12)-1)</f>
        <v/>
      </c>
      <c r="K145" s="25" t="str">
        <f>IF(OR(E145&lt;=0,G145&lt;=0),"",-PMT(J145,G145,E145))</f>
        <v/>
      </c>
      <c r="L145" s="25" t="str">
        <f>IF(K145="","",K145+I145)</f>
        <v/>
      </c>
      <c r="M145" s="25" t="str">
        <f>IF(L145="","",L145*G145+H145)</f>
        <v/>
      </c>
      <c r="N145" s="25" t="str">
        <f>IF(K145="","",K145*G145-E145)</f>
        <v/>
      </c>
      <c r="O145" s="17"/>
      <c r="P145" s="20"/>
      <c r="Q145" s="27" t="str">
        <f>IF(A145="","",IF(COUNTIF($A$4:$A$203,A145)&gt;1,"ID duplicado",IF(COUNTIF(Clientes!$A$4:$A$203,B145)=0,"Cliente não encontrado",IF(OR(E145&lt;=0,G145&lt;=0,F145&lt;0),"Revisar condições","OK"))))</f>
        <v/>
      </c>
    </row>
    <row r="146" spans="1:17" x14ac:dyDescent="0.3">
      <c r="A146" s="17"/>
      <c r="B146" s="17"/>
      <c r="C146" s="21" t="str">
        <f>IF(B146="","",IFERROR(INDEX(Clientes!$B$4:$B$203,MATCH(B146,Clientes!$A$4:$A$203,0)),"Cliente não encontrado"))</f>
        <v/>
      </c>
      <c r="D146" s="18"/>
      <c r="E146" s="22"/>
      <c r="F146" s="23"/>
      <c r="G146" s="26"/>
      <c r="H146" s="22"/>
      <c r="I146" s="22"/>
      <c r="J146" s="24" t="str">
        <f>IF(OR(E146="",F146="",G146=""),"",(1+F146)^(1/12)-1)</f>
        <v/>
      </c>
      <c r="K146" s="25" t="str">
        <f>IF(OR(E146&lt;=0,G146&lt;=0),"",-PMT(J146,G146,E146))</f>
        <v/>
      </c>
      <c r="L146" s="25" t="str">
        <f>IF(K146="","",K146+I146)</f>
        <v/>
      </c>
      <c r="M146" s="25" t="str">
        <f>IF(L146="","",L146*G146+H146)</f>
        <v/>
      </c>
      <c r="N146" s="25" t="str">
        <f>IF(K146="","",K146*G146-E146)</f>
        <v/>
      </c>
      <c r="O146" s="17"/>
      <c r="P146" s="20"/>
      <c r="Q146" s="27" t="str">
        <f>IF(A146="","",IF(COUNTIF($A$4:$A$203,A146)&gt;1,"ID duplicado",IF(COUNTIF(Clientes!$A$4:$A$203,B146)=0,"Cliente não encontrado",IF(OR(E146&lt;=0,G146&lt;=0,F146&lt;0),"Revisar condições","OK"))))</f>
        <v/>
      </c>
    </row>
    <row r="147" spans="1:17" x14ac:dyDescent="0.3">
      <c r="A147" s="17"/>
      <c r="B147" s="17"/>
      <c r="C147" s="21" t="str">
        <f>IF(B147="","",IFERROR(INDEX(Clientes!$B$4:$B$203,MATCH(B147,Clientes!$A$4:$A$203,0)),"Cliente não encontrado"))</f>
        <v/>
      </c>
      <c r="D147" s="18"/>
      <c r="E147" s="22"/>
      <c r="F147" s="23"/>
      <c r="G147" s="26"/>
      <c r="H147" s="22"/>
      <c r="I147" s="22"/>
      <c r="J147" s="24" t="str">
        <f>IF(OR(E147="",F147="",G147=""),"",(1+F147)^(1/12)-1)</f>
        <v/>
      </c>
      <c r="K147" s="25" t="str">
        <f>IF(OR(E147&lt;=0,G147&lt;=0),"",-PMT(J147,G147,E147))</f>
        <v/>
      </c>
      <c r="L147" s="25" t="str">
        <f>IF(K147="","",K147+I147)</f>
        <v/>
      </c>
      <c r="M147" s="25" t="str">
        <f>IF(L147="","",L147*G147+H147)</f>
        <v/>
      </c>
      <c r="N147" s="25" t="str">
        <f>IF(K147="","",K147*G147-E147)</f>
        <v/>
      </c>
      <c r="O147" s="17"/>
      <c r="P147" s="20"/>
      <c r="Q147" s="27" t="str">
        <f>IF(A147="","",IF(COUNTIF($A$4:$A$203,A147)&gt;1,"ID duplicado",IF(COUNTIF(Clientes!$A$4:$A$203,B147)=0,"Cliente não encontrado",IF(OR(E147&lt;=0,G147&lt;=0,F147&lt;0),"Revisar condições","OK"))))</f>
        <v/>
      </c>
    </row>
    <row r="148" spans="1:17" x14ac:dyDescent="0.3">
      <c r="A148" s="17"/>
      <c r="B148" s="17"/>
      <c r="C148" s="21" t="str">
        <f>IF(B148="","",IFERROR(INDEX(Clientes!$B$4:$B$203,MATCH(B148,Clientes!$A$4:$A$203,0)),"Cliente não encontrado"))</f>
        <v/>
      </c>
      <c r="D148" s="18"/>
      <c r="E148" s="22"/>
      <c r="F148" s="23"/>
      <c r="G148" s="26"/>
      <c r="H148" s="22"/>
      <c r="I148" s="22"/>
      <c r="J148" s="24" t="str">
        <f>IF(OR(E148="",F148="",G148=""),"",(1+F148)^(1/12)-1)</f>
        <v/>
      </c>
      <c r="K148" s="25" t="str">
        <f>IF(OR(E148&lt;=0,G148&lt;=0),"",-PMT(J148,G148,E148))</f>
        <v/>
      </c>
      <c r="L148" s="25" t="str">
        <f>IF(K148="","",K148+I148)</f>
        <v/>
      </c>
      <c r="M148" s="25" t="str">
        <f>IF(L148="","",L148*G148+H148)</f>
        <v/>
      </c>
      <c r="N148" s="25" t="str">
        <f>IF(K148="","",K148*G148-E148)</f>
        <v/>
      </c>
      <c r="O148" s="17"/>
      <c r="P148" s="20"/>
      <c r="Q148" s="27" t="str">
        <f>IF(A148="","",IF(COUNTIF($A$4:$A$203,A148)&gt;1,"ID duplicado",IF(COUNTIF(Clientes!$A$4:$A$203,B148)=0,"Cliente não encontrado",IF(OR(E148&lt;=0,G148&lt;=0,F148&lt;0),"Revisar condições","OK"))))</f>
        <v/>
      </c>
    </row>
    <row r="149" spans="1:17" x14ac:dyDescent="0.3">
      <c r="A149" s="17"/>
      <c r="B149" s="17"/>
      <c r="C149" s="21" t="str">
        <f>IF(B149="","",IFERROR(INDEX(Clientes!$B$4:$B$203,MATCH(B149,Clientes!$A$4:$A$203,0)),"Cliente não encontrado"))</f>
        <v/>
      </c>
      <c r="D149" s="18"/>
      <c r="E149" s="22"/>
      <c r="F149" s="23"/>
      <c r="G149" s="26"/>
      <c r="H149" s="22"/>
      <c r="I149" s="22"/>
      <c r="J149" s="24" t="str">
        <f>IF(OR(E149="",F149="",G149=""),"",(1+F149)^(1/12)-1)</f>
        <v/>
      </c>
      <c r="K149" s="25" t="str">
        <f>IF(OR(E149&lt;=0,G149&lt;=0),"",-PMT(J149,G149,E149))</f>
        <v/>
      </c>
      <c r="L149" s="25" t="str">
        <f>IF(K149="","",K149+I149)</f>
        <v/>
      </c>
      <c r="M149" s="25" t="str">
        <f>IF(L149="","",L149*G149+H149)</f>
        <v/>
      </c>
      <c r="N149" s="25" t="str">
        <f>IF(K149="","",K149*G149-E149)</f>
        <v/>
      </c>
      <c r="O149" s="17"/>
      <c r="P149" s="20"/>
      <c r="Q149" s="27" t="str">
        <f>IF(A149="","",IF(COUNTIF($A$4:$A$203,A149)&gt;1,"ID duplicado",IF(COUNTIF(Clientes!$A$4:$A$203,B149)=0,"Cliente não encontrado",IF(OR(E149&lt;=0,G149&lt;=0,F149&lt;0),"Revisar condições","OK"))))</f>
        <v/>
      </c>
    </row>
    <row r="150" spans="1:17" x14ac:dyDescent="0.3">
      <c r="A150" s="17"/>
      <c r="B150" s="17"/>
      <c r="C150" s="21" t="str">
        <f>IF(B150="","",IFERROR(INDEX(Clientes!$B$4:$B$203,MATCH(B150,Clientes!$A$4:$A$203,0)),"Cliente não encontrado"))</f>
        <v/>
      </c>
      <c r="D150" s="18"/>
      <c r="E150" s="22"/>
      <c r="F150" s="23"/>
      <c r="G150" s="26"/>
      <c r="H150" s="22"/>
      <c r="I150" s="22"/>
      <c r="J150" s="24" t="str">
        <f>IF(OR(E150="",F150="",G150=""),"",(1+F150)^(1/12)-1)</f>
        <v/>
      </c>
      <c r="K150" s="25" t="str">
        <f>IF(OR(E150&lt;=0,G150&lt;=0),"",-PMT(J150,G150,E150))</f>
        <v/>
      </c>
      <c r="L150" s="25" t="str">
        <f>IF(K150="","",K150+I150)</f>
        <v/>
      </c>
      <c r="M150" s="25" t="str">
        <f>IF(L150="","",L150*G150+H150)</f>
        <v/>
      </c>
      <c r="N150" s="25" t="str">
        <f>IF(K150="","",K150*G150-E150)</f>
        <v/>
      </c>
      <c r="O150" s="17"/>
      <c r="P150" s="20"/>
      <c r="Q150" s="27" t="str">
        <f>IF(A150="","",IF(COUNTIF($A$4:$A$203,A150)&gt;1,"ID duplicado",IF(COUNTIF(Clientes!$A$4:$A$203,B150)=0,"Cliente não encontrado",IF(OR(E150&lt;=0,G150&lt;=0,F150&lt;0),"Revisar condições","OK"))))</f>
        <v/>
      </c>
    </row>
    <row r="151" spans="1:17" x14ac:dyDescent="0.3">
      <c r="A151" s="17"/>
      <c r="B151" s="17"/>
      <c r="C151" s="21" t="str">
        <f>IF(B151="","",IFERROR(INDEX(Clientes!$B$4:$B$203,MATCH(B151,Clientes!$A$4:$A$203,0)),"Cliente não encontrado"))</f>
        <v/>
      </c>
      <c r="D151" s="18"/>
      <c r="E151" s="22"/>
      <c r="F151" s="23"/>
      <c r="G151" s="26"/>
      <c r="H151" s="22"/>
      <c r="I151" s="22"/>
      <c r="J151" s="24" t="str">
        <f>IF(OR(E151="",F151="",G151=""),"",(1+F151)^(1/12)-1)</f>
        <v/>
      </c>
      <c r="K151" s="25" t="str">
        <f>IF(OR(E151&lt;=0,G151&lt;=0),"",-PMT(J151,G151,E151))</f>
        <v/>
      </c>
      <c r="L151" s="25" t="str">
        <f>IF(K151="","",K151+I151)</f>
        <v/>
      </c>
      <c r="M151" s="25" t="str">
        <f>IF(L151="","",L151*G151+H151)</f>
        <v/>
      </c>
      <c r="N151" s="25" t="str">
        <f>IF(K151="","",K151*G151-E151)</f>
        <v/>
      </c>
      <c r="O151" s="17"/>
      <c r="P151" s="20"/>
      <c r="Q151" s="27" t="str">
        <f>IF(A151="","",IF(COUNTIF($A$4:$A$203,A151)&gt;1,"ID duplicado",IF(COUNTIF(Clientes!$A$4:$A$203,B151)=0,"Cliente não encontrado",IF(OR(E151&lt;=0,G151&lt;=0,F151&lt;0),"Revisar condições","OK"))))</f>
        <v/>
      </c>
    </row>
    <row r="152" spans="1:17" x14ac:dyDescent="0.3">
      <c r="A152" s="17"/>
      <c r="B152" s="17"/>
      <c r="C152" s="21" t="str">
        <f>IF(B152="","",IFERROR(INDEX(Clientes!$B$4:$B$203,MATCH(B152,Clientes!$A$4:$A$203,0)),"Cliente não encontrado"))</f>
        <v/>
      </c>
      <c r="D152" s="18"/>
      <c r="E152" s="22"/>
      <c r="F152" s="23"/>
      <c r="G152" s="26"/>
      <c r="H152" s="22"/>
      <c r="I152" s="22"/>
      <c r="J152" s="24" t="str">
        <f>IF(OR(E152="",F152="",G152=""),"",(1+F152)^(1/12)-1)</f>
        <v/>
      </c>
      <c r="K152" s="25" t="str">
        <f>IF(OR(E152&lt;=0,G152&lt;=0),"",-PMT(J152,G152,E152))</f>
        <v/>
      </c>
      <c r="L152" s="25" t="str">
        <f>IF(K152="","",K152+I152)</f>
        <v/>
      </c>
      <c r="M152" s="25" t="str">
        <f>IF(L152="","",L152*G152+H152)</f>
        <v/>
      </c>
      <c r="N152" s="25" t="str">
        <f>IF(K152="","",K152*G152-E152)</f>
        <v/>
      </c>
      <c r="O152" s="17"/>
      <c r="P152" s="20"/>
      <c r="Q152" s="27" t="str">
        <f>IF(A152="","",IF(COUNTIF($A$4:$A$203,A152)&gt;1,"ID duplicado",IF(COUNTIF(Clientes!$A$4:$A$203,B152)=0,"Cliente não encontrado",IF(OR(E152&lt;=0,G152&lt;=0,F152&lt;0),"Revisar condições","OK"))))</f>
        <v/>
      </c>
    </row>
    <row r="153" spans="1:17" x14ac:dyDescent="0.3">
      <c r="A153" s="17"/>
      <c r="B153" s="17"/>
      <c r="C153" s="21" t="str">
        <f>IF(B153="","",IFERROR(INDEX(Clientes!$B$4:$B$203,MATCH(B153,Clientes!$A$4:$A$203,0)),"Cliente não encontrado"))</f>
        <v/>
      </c>
      <c r="D153" s="18"/>
      <c r="E153" s="22"/>
      <c r="F153" s="23"/>
      <c r="G153" s="26"/>
      <c r="H153" s="22"/>
      <c r="I153" s="22"/>
      <c r="J153" s="24" t="str">
        <f>IF(OR(E153="",F153="",G153=""),"",(1+F153)^(1/12)-1)</f>
        <v/>
      </c>
      <c r="K153" s="25" t="str">
        <f>IF(OR(E153&lt;=0,G153&lt;=0),"",-PMT(J153,G153,E153))</f>
        <v/>
      </c>
      <c r="L153" s="25" t="str">
        <f>IF(K153="","",K153+I153)</f>
        <v/>
      </c>
      <c r="M153" s="25" t="str">
        <f>IF(L153="","",L153*G153+H153)</f>
        <v/>
      </c>
      <c r="N153" s="25" t="str">
        <f>IF(K153="","",K153*G153-E153)</f>
        <v/>
      </c>
      <c r="O153" s="17"/>
      <c r="P153" s="20"/>
      <c r="Q153" s="27" t="str">
        <f>IF(A153="","",IF(COUNTIF($A$4:$A$203,A153)&gt;1,"ID duplicado",IF(COUNTIF(Clientes!$A$4:$A$203,B153)=0,"Cliente não encontrado",IF(OR(E153&lt;=0,G153&lt;=0,F153&lt;0),"Revisar condições","OK"))))</f>
        <v/>
      </c>
    </row>
    <row r="154" spans="1:17" x14ac:dyDescent="0.3">
      <c r="A154" s="17"/>
      <c r="B154" s="17"/>
      <c r="C154" s="21" t="str">
        <f>IF(B154="","",IFERROR(INDEX(Clientes!$B$4:$B$203,MATCH(B154,Clientes!$A$4:$A$203,0)),"Cliente não encontrado"))</f>
        <v/>
      </c>
      <c r="D154" s="18"/>
      <c r="E154" s="22"/>
      <c r="F154" s="23"/>
      <c r="G154" s="26"/>
      <c r="H154" s="22"/>
      <c r="I154" s="22"/>
      <c r="J154" s="24" t="str">
        <f>IF(OR(E154="",F154="",G154=""),"",(1+F154)^(1/12)-1)</f>
        <v/>
      </c>
      <c r="K154" s="25" t="str">
        <f>IF(OR(E154&lt;=0,G154&lt;=0),"",-PMT(J154,G154,E154))</f>
        <v/>
      </c>
      <c r="L154" s="25" t="str">
        <f>IF(K154="","",K154+I154)</f>
        <v/>
      </c>
      <c r="M154" s="25" t="str">
        <f>IF(L154="","",L154*G154+H154)</f>
        <v/>
      </c>
      <c r="N154" s="25" t="str">
        <f>IF(K154="","",K154*G154-E154)</f>
        <v/>
      </c>
      <c r="O154" s="17"/>
      <c r="P154" s="20"/>
      <c r="Q154" s="27" t="str">
        <f>IF(A154="","",IF(COUNTIF($A$4:$A$203,A154)&gt;1,"ID duplicado",IF(COUNTIF(Clientes!$A$4:$A$203,B154)=0,"Cliente não encontrado",IF(OR(E154&lt;=0,G154&lt;=0,F154&lt;0),"Revisar condições","OK"))))</f>
        <v/>
      </c>
    </row>
    <row r="155" spans="1:17" x14ac:dyDescent="0.3">
      <c r="A155" s="17"/>
      <c r="B155" s="17"/>
      <c r="C155" s="21" t="str">
        <f>IF(B155="","",IFERROR(INDEX(Clientes!$B$4:$B$203,MATCH(B155,Clientes!$A$4:$A$203,0)),"Cliente não encontrado"))</f>
        <v/>
      </c>
      <c r="D155" s="18"/>
      <c r="E155" s="22"/>
      <c r="F155" s="23"/>
      <c r="G155" s="26"/>
      <c r="H155" s="22"/>
      <c r="I155" s="22"/>
      <c r="J155" s="24" t="str">
        <f>IF(OR(E155="",F155="",G155=""),"",(1+F155)^(1/12)-1)</f>
        <v/>
      </c>
      <c r="K155" s="25" t="str">
        <f>IF(OR(E155&lt;=0,G155&lt;=0),"",-PMT(J155,G155,E155))</f>
        <v/>
      </c>
      <c r="L155" s="25" t="str">
        <f>IF(K155="","",K155+I155)</f>
        <v/>
      </c>
      <c r="M155" s="25" t="str">
        <f>IF(L155="","",L155*G155+H155)</f>
        <v/>
      </c>
      <c r="N155" s="25" t="str">
        <f>IF(K155="","",K155*G155-E155)</f>
        <v/>
      </c>
      <c r="O155" s="17"/>
      <c r="P155" s="20"/>
      <c r="Q155" s="27" t="str">
        <f>IF(A155="","",IF(COUNTIF($A$4:$A$203,A155)&gt;1,"ID duplicado",IF(COUNTIF(Clientes!$A$4:$A$203,B155)=0,"Cliente não encontrado",IF(OR(E155&lt;=0,G155&lt;=0,F155&lt;0),"Revisar condições","OK"))))</f>
        <v/>
      </c>
    </row>
    <row r="156" spans="1:17" x14ac:dyDescent="0.3">
      <c r="A156" s="17"/>
      <c r="B156" s="17"/>
      <c r="C156" s="21" t="str">
        <f>IF(B156="","",IFERROR(INDEX(Clientes!$B$4:$B$203,MATCH(B156,Clientes!$A$4:$A$203,0)),"Cliente não encontrado"))</f>
        <v/>
      </c>
      <c r="D156" s="18"/>
      <c r="E156" s="22"/>
      <c r="F156" s="23"/>
      <c r="G156" s="26"/>
      <c r="H156" s="22"/>
      <c r="I156" s="22"/>
      <c r="J156" s="24" t="str">
        <f>IF(OR(E156="",F156="",G156=""),"",(1+F156)^(1/12)-1)</f>
        <v/>
      </c>
      <c r="K156" s="25" t="str">
        <f>IF(OR(E156&lt;=0,G156&lt;=0),"",-PMT(J156,G156,E156))</f>
        <v/>
      </c>
      <c r="L156" s="25" t="str">
        <f>IF(K156="","",K156+I156)</f>
        <v/>
      </c>
      <c r="M156" s="25" t="str">
        <f>IF(L156="","",L156*G156+H156)</f>
        <v/>
      </c>
      <c r="N156" s="25" t="str">
        <f>IF(K156="","",K156*G156-E156)</f>
        <v/>
      </c>
      <c r="O156" s="17"/>
      <c r="P156" s="20"/>
      <c r="Q156" s="27" t="str">
        <f>IF(A156="","",IF(COUNTIF($A$4:$A$203,A156)&gt;1,"ID duplicado",IF(COUNTIF(Clientes!$A$4:$A$203,B156)=0,"Cliente não encontrado",IF(OR(E156&lt;=0,G156&lt;=0,F156&lt;0),"Revisar condições","OK"))))</f>
        <v/>
      </c>
    </row>
    <row r="157" spans="1:17" x14ac:dyDescent="0.3">
      <c r="A157" s="17"/>
      <c r="B157" s="17"/>
      <c r="C157" s="21" t="str">
        <f>IF(B157="","",IFERROR(INDEX(Clientes!$B$4:$B$203,MATCH(B157,Clientes!$A$4:$A$203,0)),"Cliente não encontrado"))</f>
        <v/>
      </c>
      <c r="D157" s="18"/>
      <c r="E157" s="22"/>
      <c r="F157" s="23"/>
      <c r="G157" s="26"/>
      <c r="H157" s="22"/>
      <c r="I157" s="22"/>
      <c r="J157" s="24" t="str">
        <f>IF(OR(E157="",F157="",G157=""),"",(1+F157)^(1/12)-1)</f>
        <v/>
      </c>
      <c r="K157" s="25" t="str">
        <f>IF(OR(E157&lt;=0,G157&lt;=0),"",-PMT(J157,G157,E157))</f>
        <v/>
      </c>
      <c r="L157" s="25" t="str">
        <f>IF(K157="","",K157+I157)</f>
        <v/>
      </c>
      <c r="M157" s="25" t="str">
        <f>IF(L157="","",L157*G157+H157)</f>
        <v/>
      </c>
      <c r="N157" s="25" t="str">
        <f>IF(K157="","",K157*G157-E157)</f>
        <v/>
      </c>
      <c r="O157" s="17"/>
      <c r="P157" s="20"/>
      <c r="Q157" s="27" t="str">
        <f>IF(A157="","",IF(COUNTIF($A$4:$A$203,A157)&gt;1,"ID duplicado",IF(COUNTIF(Clientes!$A$4:$A$203,B157)=0,"Cliente não encontrado",IF(OR(E157&lt;=0,G157&lt;=0,F157&lt;0),"Revisar condições","OK"))))</f>
        <v/>
      </c>
    </row>
    <row r="158" spans="1:17" x14ac:dyDescent="0.3">
      <c r="A158" s="17"/>
      <c r="B158" s="17"/>
      <c r="C158" s="21" t="str">
        <f>IF(B158="","",IFERROR(INDEX(Clientes!$B$4:$B$203,MATCH(B158,Clientes!$A$4:$A$203,0)),"Cliente não encontrado"))</f>
        <v/>
      </c>
      <c r="D158" s="18"/>
      <c r="E158" s="22"/>
      <c r="F158" s="23"/>
      <c r="G158" s="26"/>
      <c r="H158" s="22"/>
      <c r="I158" s="22"/>
      <c r="J158" s="24" t="str">
        <f>IF(OR(E158="",F158="",G158=""),"",(1+F158)^(1/12)-1)</f>
        <v/>
      </c>
      <c r="K158" s="25" t="str">
        <f>IF(OR(E158&lt;=0,G158&lt;=0),"",-PMT(J158,G158,E158))</f>
        <v/>
      </c>
      <c r="L158" s="25" t="str">
        <f>IF(K158="","",K158+I158)</f>
        <v/>
      </c>
      <c r="M158" s="25" t="str">
        <f>IF(L158="","",L158*G158+H158)</f>
        <v/>
      </c>
      <c r="N158" s="25" t="str">
        <f>IF(K158="","",K158*G158-E158)</f>
        <v/>
      </c>
      <c r="O158" s="17"/>
      <c r="P158" s="20"/>
      <c r="Q158" s="27" t="str">
        <f>IF(A158="","",IF(COUNTIF($A$4:$A$203,A158)&gt;1,"ID duplicado",IF(COUNTIF(Clientes!$A$4:$A$203,B158)=0,"Cliente não encontrado",IF(OR(E158&lt;=0,G158&lt;=0,F158&lt;0),"Revisar condições","OK"))))</f>
        <v/>
      </c>
    </row>
    <row r="159" spans="1:17" x14ac:dyDescent="0.3">
      <c r="A159" s="17"/>
      <c r="B159" s="17"/>
      <c r="C159" s="21" t="str">
        <f>IF(B159="","",IFERROR(INDEX(Clientes!$B$4:$B$203,MATCH(B159,Clientes!$A$4:$A$203,0)),"Cliente não encontrado"))</f>
        <v/>
      </c>
      <c r="D159" s="18"/>
      <c r="E159" s="22"/>
      <c r="F159" s="23"/>
      <c r="G159" s="26"/>
      <c r="H159" s="22"/>
      <c r="I159" s="22"/>
      <c r="J159" s="24" t="str">
        <f>IF(OR(E159="",F159="",G159=""),"",(1+F159)^(1/12)-1)</f>
        <v/>
      </c>
      <c r="K159" s="25" t="str">
        <f>IF(OR(E159&lt;=0,G159&lt;=0),"",-PMT(J159,G159,E159))</f>
        <v/>
      </c>
      <c r="L159" s="25" t="str">
        <f>IF(K159="","",K159+I159)</f>
        <v/>
      </c>
      <c r="M159" s="25" t="str">
        <f>IF(L159="","",L159*G159+H159)</f>
        <v/>
      </c>
      <c r="N159" s="25" t="str">
        <f>IF(K159="","",K159*G159-E159)</f>
        <v/>
      </c>
      <c r="O159" s="17"/>
      <c r="P159" s="20"/>
      <c r="Q159" s="27" t="str">
        <f>IF(A159="","",IF(COUNTIF($A$4:$A$203,A159)&gt;1,"ID duplicado",IF(COUNTIF(Clientes!$A$4:$A$203,B159)=0,"Cliente não encontrado",IF(OR(E159&lt;=0,G159&lt;=0,F159&lt;0),"Revisar condições","OK"))))</f>
        <v/>
      </c>
    </row>
    <row r="160" spans="1:17" x14ac:dyDescent="0.3">
      <c r="A160" s="17"/>
      <c r="B160" s="17"/>
      <c r="C160" s="21" t="str">
        <f>IF(B160="","",IFERROR(INDEX(Clientes!$B$4:$B$203,MATCH(B160,Clientes!$A$4:$A$203,0)),"Cliente não encontrado"))</f>
        <v/>
      </c>
      <c r="D160" s="18"/>
      <c r="E160" s="22"/>
      <c r="F160" s="23"/>
      <c r="G160" s="26"/>
      <c r="H160" s="22"/>
      <c r="I160" s="22"/>
      <c r="J160" s="24" t="str">
        <f>IF(OR(E160="",F160="",G160=""),"",(1+F160)^(1/12)-1)</f>
        <v/>
      </c>
      <c r="K160" s="25" t="str">
        <f>IF(OR(E160&lt;=0,G160&lt;=0),"",-PMT(J160,G160,E160))</f>
        <v/>
      </c>
      <c r="L160" s="25" t="str">
        <f>IF(K160="","",K160+I160)</f>
        <v/>
      </c>
      <c r="M160" s="25" t="str">
        <f>IF(L160="","",L160*G160+H160)</f>
        <v/>
      </c>
      <c r="N160" s="25" t="str">
        <f>IF(K160="","",K160*G160-E160)</f>
        <v/>
      </c>
      <c r="O160" s="17"/>
      <c r="P160" s="20"/>
      <c r="Q160" s="27" t="str">
        <f>IF(A160="","",IF(COUNTIF($A$4:$A$203,A160)&gt;1,"ID duplicado",IF(COUNTIF(Clientes!$A$4:$A$203,B160)=0,"Cliente não encontrado",IF(OR(E160&lt;=0,G160&lt;=0,F160&lt;0),"Revisar condições","OK"))))</f>
        <v/>
      </c>
    </row>
    <row r="161" spans="1:17" x14ac:dyDescent="0.3">
      <c r="A161" s="17"/>
      <c r="B161" s="17"/>
      <c r="C161" s="21" t="str">
        <f>IF(B161="","",IFERROR(INDEX(Clientes!$B$4:$B$203,MATCH(B161,Clientes!$A$4:$A$203,0)),"Cliente não encontrado"))</f>
        <v/>
      </c>
      <c r="D161" s="18"/>
      <c r="E161" s="22"/>
      <c r="F161" s="23"/>
      <c r="G161" s="26"/>
      <c r="H161" s="22"/>
      <c r="I161" s="22"/>
      <c r="J161" s="24" t="str">
        <f>IF(OR(E161="",F161="",G161=""),"",(1+F161)^(1/12)-1)</f>
        <v/>
      </c>
      <c r="K161" s="25" t="str">
        <f>IF(OR(E161&lt;=0,G161&lt;=0),"",-PMT(J161,G161,E161))</f>
        <v/>
      </c>
      <c r="L161" s="25" t="str">
        <f>IF(K161="","",K161+I161)</f>
        <v/>
      </c>
      <c r="M161" s="25" t="str">
        <f>IF(L161="","",L161*G161+H161)</f>
        <v/>
      </c>
      <c r="N161" s="25" t="str">
        <f>IF(K161="","",K161*G161-E161)</f>
        <v/>
      </c>
      <c r="O161" s="17"/>
      <c r="P161" s="20"/>
      <c r="Q161" s="27" t="str">
        <f>IF(A161="","",IF(COUNTIF($A$4:$A$203,A161)&gt;1,"ID duplicado",IF(COUNTIF(Clientes!$A$4:$A$203,B161)=0,"Cliente não encontrado",IF(OR(E161&lt;=0,G161&lt;=0,F161&lt;0),"Revisar condições","OK"))))</f>
        <v/>
      </c>
    </row>
    <row r="162" spans="1:17" x14ac:dyDescent="0.3">
      <c r="A162" s="17"/>
      <c r="B162" s="17"/>
      <c r="C162" s="21" t="str">
        <f>IF(B162="","",IFERROR(INDEX(Clientes!$B$4:$B$203,MATCH(B162,Clientes!$A$4:$A$203,0)),"Cliente não encontrado"))</f>
        <v/>
      </c>
      <c r="D162" s="18"/>
      <c r="E162" s="22"/>
      <c r="F162" s="23"/>
      <c r="G162" s="26"/>
      <c r="H162" s="22"/>
      <c r="I162" s="22"/>
      <c r="J162" s="24" t="str">
        <f>IF(OR(E162="",F162="",G162=""),"",(1+F162)^(1/12)-1)</f>
        <v/>
      </c>
      <c r="K162" s="25" t="str">
        <f>IF(OR(E162&lt;=0,G162&lt;=0),"",-PMT(J162,G162,E162))</f>
        <v/>
      </c>
      <c r="L162" s="25" t="str">
        <f>IF(K162="","",K162+I162)</f>
        <v/>
      </c>
      <c r="M162" s="25" t="str">
        <f>IF(L162="","",L162*G162+H162)</f>
        <v/>
      </c>
      <c r="N162" s="25" t="str">
        <f>IF(K162="","",K162*G162-E162)</f>
        <v/>
      </c>
      <c r="O162" s="17"/>
      <c r="P162" s="20"/>
      <c r="Q162" s="27" t="str">
        <f>IF(A162="","",IF(COUNTIF($A$4:$A$203,A162)&gt;1,"ID duplicado",IF(COUNTIF(Clientes!$A$4:$A$203,B162)=0,"Cliente não encontrado",IF(OR(E162&lt;=0,G162&lt;=0,F162&lt;0),"Revisar condições","OK"))))</f>
        <v/>
      </c>
    </row>
    <row r="163" spans="1:17" x14ac:dyDescent="0.3">
      <c r="A163" s="17"/>
      <c r="B163" s="17"/>
      <c r="C163" s="21" t="str">
        <f>IF(B163="","",IFERROR(INDEX(Clientes!$B$4:$B$203,MATCH(B163,Clientes!$A$4:$A$203,0)),"Cliente não encontrado"))</f>
        <v/>
      </c>
      <c r="D163" s="18"/>
      <c r="E163" s="22"/>
      <c r="F163" s="23"/>
      <c r="G163" s="26"/>
      <c r="H163" s="22"/>
      <c r="I163" s="22"/>
      <c r="J163" s="24" t="str">
        <f>IF(OR(E163="",F163="",G163=""),"",(1+F163)^(1/12)-1)</f>
        <v/>
      </c>
      <c r="K163" s="25" t="str">
        <f>IF(OR(E163&lt;=0,G163&lt;=0),"",-PMT(J163,G163,E163))</f>
        <v/>
      </c>
      <c r="L163" s="25" t="str">
        <f>IF(K163="","",K163+I163)</f>
        <v/>
      </c>
      <c r="M163" s="25" t="str">
        <f>IF(L163="","",L163*G163+H163)</f>
        <v/>
      </c>
      <c r="N163" s="25" t="str">
        <f>IF(K163="","",K163*G163-E163)</f>
        <v/>
      </c>
      <c r="O163" s="17"/>
      <c r="P163" s="20"/>
      <c r="Q163" s="27" t="str">
        <f>IF(A163="","",IF(COUNTIF($A$4:$A$203,A163)&gt;1,"ID duplicado",IF(COUNTIF(Clientes!$A$4:$A$203,B163)=0,"Cliente não encontrado",IF(OR(E163&lt;=0,G163&lt;=0,F163&lt;0),"Revisar condições","OK"))))</f>
        <v/>
      </c>
    </row>
    <row r="164" spans="1:17" x14ac:dyDescent="0.3">
      <c r="A164" s="17"/>
      <c r="B164" s="17"/>
      <c r="C164" s="21" t="str">
        <f>IF(B164="","",IFERROR(INDEX(Clientes!$B$4:$B$203,MATCH(B164,Clientes!$A$4:$A$203,0)),"Cliente não encontrado"))</f>
        <v/>
      </c>
      <c r="D164" s="18"/>
      <c r="E164" s="22"/>
      <c r="F164" s="23"/>
      <c r="G164" s="26"/>
      <c r="H164" s="22"/>
      <c r="I164" s="22"/>
      <c r="J164" s="24" t="str">
        <f>IF(OR(E164="",F164="",G164=""),"",(1+F164)^(1/12)-1)</f>
        <v/>
      </c>
      <c r="K164" s="25" t="str">
        <f>IF(OR(E164&lt;=0,G164&lt;=0),"",-PMT(J164,G164,E164))</f>
        <v/>
      </c>
      <c r="L164" s="25" t="str">
        <f>IF(K164="","",K164+I164)</f>
        <v/>
      </c>
      <c r="M164" s="25" t="str">
        <f>IF(L164="","",L164*G164+H164)</f>
        <v/>
      </c>
      <c r="N164" s="25" t="str">
        <f>IF(K164="","",K164*G164-E164)</f>
        <v/>
      </c>
      <c r="O164" s="17"/>
      <c r="P164" s="20"/>
      <c r="Q164" s="27" t="str">
        <f>IF(A164="","",IF(COUNTIF($A$4:$A$203,A164)&gt;1,"ID duplicado",IF(COUNTIF(Clientes!$A$4:$A$203,B164)=0,"Cliente não encontrado",IF(OR(E164&lt;=0,G164&lt;=0,F164&lt;0),"Revisar condições","OK"))))</f>
        <v/>
      </c>
    </row>
    <row r="165" spans="1:17" x14ac:dyDescent="0.3">
      <c r="A165" s="17"/>
      <c r="B165" s="17"/>
      <c r="C165" s="21" t="str">
        <f>IF(B165="","",IFERROR(INDEX(Clientes!$B$4:$B$203,MATCH(B165,Clientes!$A$4:$A$203,0)),"Cliente não encontrado"))</f>
        <v/>
      </c>
      <c r="D165" s="18"/>
      <c r="E165" s="22"/>
      <c r="F165" s="23"/>
      <c r="G165" s="26"/>
      <c r="H165" s="22"/>
      <c r="I165" s="22"/>
      <c r="J165" s="24" t="str">
        <f>IF(OR(E165="",F165="",G165=""),"",(1+F165)^(1/12)-1)</f>
        <v/>
      </c>
      <c r="K165" s="25" t="str">
        <f>IF(OR(E165&lt;=0,G165&lt;=0),"",-PMT(J165,G165,E165))</f>
        <v/>
      </c>
      <c r="L165" s="25" t="str">
        <f>IF(K165="","",K165+I165)</f>
        <v/>
      </c>
      <c r="M165" s="25" t="str">
        <f>IF(L165="","",L165*G165+H165)</f>
        <v/>
      </c>
      <c r="N165" s="25" t="str">
        <f>IF(K165="","",K165*G165-E165)</f>
        <v/>
      </c>
      <c r="O165" s="17"/>
      <c r="P165" s="20"/>
      <c r="Q165" s="27" t="str">
        <f>IF(A165="","",IF(COUNTIF($A$4:$A$203,A165)&gt;1,"ID duplicado",IF(COUNTIF(Clientes!$A$4:$A$203,B165)=0,"Cliente não encontrado",IF(OR(E165&lt;=0,G165&lt;=0,F165&lt;0),"Revisar condições","OK"))))</f>
        <v/>
      </c>
    </row>
    <row r="166" spans="1:17" x14ac:dyDescent="0.3">
      <c r="A166" s="17"/>
      <c r="B166" s="17"/>
      <c r="C166" s="21" t="str">
        <f>IF(B166="","",IFERROR(INDEX(Clientes!$B$4:$B$203,MATCH(B166,Clientes!$A$4:$A$203,0)),"Cliente não encontrado"))</f>
        <v/>
      </c>
      <c r="D166" s="18"/>
      <c r="E166" s="22"/>
      <c r="F166" s="23"/>
      <c r="G166" s="26"/>
      <c r="H166" s="22"/>
      <c r="I166" s="22"/>
      <c r="J166" s="24" t="str">
        <f>IF(OR(E166="",F166="",G166=""),"",(1+F166)^(1/12)-1)</f>
        <v/>
      </c>
      <c r="K166" s="25" t="str">
        <f>IF(OR(E166&lt;=0,G166&lt;=0),"",-PMT(J166,G166,E166))</f>
        <v/>
      </c>
      <c r="L166" s="25" t="str">
        <f>IF(K166="","",K166+I166)</f>
        <v/>
      </c>
      <c r="M166" s="25" t="str">
        <f>IF(L166="","",L166*G166+H166)</f>
        <v/>
      </c>
      <c r="N166" s="25" t="str">
        <f>IF(K166="","",K166*G166-E166)</f>
        <v/>
      </c>
      <c r="O166" s="17"/>
      <c r="P166" s="20"/>
      <c r="Q166" s="27" t="str">
        <f>IF(A166="","",IF(COUNTIF($A$4:$A$203,A166)&gt;1,"ID duplicado",IF(COUNTIF(Clientes!$A$4:$A$203,B166)=0,"Cliente não encontrado",IF(OR(E166&lt;=0,G166&lt;=0,F166&lt;0),"Revisar condições","OK"))))</f>
        <v/>
      </c>
    </row>
    <row r="167" spans="1:17" x14ac:dyDescent="0.3">
      <c r="A167" s="17"/>
      <c r="B167" s="17"/>
      <c r="C167" s="21" t="str">
        <f>IF(B167="","",IFERROR(INDEX(Clientes!$B$4:$B$203,MATCH(B167,Clientes!$A$4:$A$203,0)),"Cliente não encontrado"))</f>
        <v/>
      </c>
      <c r="D167" s="18"/>
      <c r="E167" s="22"/>
      <c r="F167" s="23"/>
      <c r="G167" s="26"/>
      <c r="H167" s="22"/>
      <c r="I167" s="22"/>
      <c r="J167" s="24" t="str">
        <f>IF(OR(E167="",F167="",G167=""),"",(1+F167)^(1/12)-1)</f>
        <v/>
      </c>
      <c r="K167" s="25" t="str">
        <f>IF(OR(E167&lt;=0,G167&lt;=0),"",-PMT(J167,G167,E167))</f>
        <v/>
      </c>
      <c r="L167" s="25" t="str">
        <f>IF(K167="","",K167+I167)</f>
        <v/>
      </c>
      <c r="M167" s="25" t="str">
        <f>IF(L167="","",L167*G167+H167)</f>
        <v/>
      </c>
      <c r="N167" s="25" t="str">
        <f>IF(K167="","",K167*G167-E167)</f>
        <v/>
      </c>
      <c r="O167" s="17"/>
      <c r="P167" s="20"/>
      <c r="Q167" s="27" t="str">
        <f>IF(A167="","",IF(COUNTIF($A$4:$A$203,A167)&gt;1,"ID duplicado",IF(COUNTIF(Clientes!$A$4:$A$203,B167)=0,"Cliente não encontrado",IF(OR(E167&lt;=0,G167&lt;=0,F167&lt;0),"Revisar condições","OK"))))</f>
        <v/>
      </c>
    </row>
    <row r="168" spans="1:17" x14ac:dyDescent="0.3">
      <c r="A168" s="17"/>
      <c r="B168" s="17"/>
      <c r="C168" s="21" t="str">
        <f>IF(B168="","",IFERROR(INDEX(Clientes!$B$4:$B$203,MATCH(B168,Clientes!$A$4:$A$203,0)),"Cliente não encontrado"))</f>
        <v/>
      </c>
      <c r="D168" s="18"/>
      <c r="E168" s="22"/>
      <c r="F168" s="23"/>
      <c r="G168" s="26"/>
      <c r="H168" s="22"/>
      <c r="I168" s="22"/>
      <c r="J168" s="24" t="str">
        <f>IF(OR(E168="",F168="",G168=""),"",(1+F168)^(1/12)-1)</f>
        <v/>
      </c>
      <c r="K168" s="25" t="str">
        <f>IF(OR(E168&lt;=0,G168&lt;=0),"",-PMT(J168,G168,E168))</f>
        <v/>
      </c>
      <c r="L168" s="25" t="str">
        <f>IF(K168="","",K168+I168)</f>
        <v/>
      </c>
      <c r="M168" s="25" t="str">
        <f>IF(L168="","",L168*G168+H168)</f>
        <v/>
      </c>
      <c r="N168" s="25" t="str">
        <f>IF(K168="","",K168*G168-E168)</f>
        <v/>
      </c>
      <c r="O168" s="17"/>
      <c r="P168" s="20"/>
      <c r="Q168" s="27" t="str">
        <f>IF(A168="","",IF(COUNTIF($A$4:$A$203,A168)&gt;1,"ID duplicado",IF(COUNTIF(Clientes!$A$4:$A$203,B168)=0,"Cliente não encontrado",IF(OR(E168&lt;=0,G168&lt;=0,F168&lt;0),"Revisar condições","OK"))))</f>
        <v/>
      </c>
    </row>
    <row r="169" spans="1:17" x14ac:dyDescent="0.3">
      <c r="A169" s="17"/>
      <c r="B169" s="17"/>
      <c r="C169" s="21" t="str">
        <f>IF(B169="","",IFERROR(INDEX(Clientes!$B$4:$B$203,MATCH(B169,Clientes!$A$4:$A$203,0)),"Cliente não encontrado"))</f>
        <v/>
      </c>
      <c r="D169" s="18"/>
      <c r="E169" s="22"/>
      <c r="F169" s="23"/>
      <c r="G169" s="26"/>
      <c r="H169" s="22"/>
      <c r="I169" s="22"/>
      <c r="J169" s="24" t="str">
        <f>IF(OR(E169="",F169="",G169=""),"",(1+F169)^(1/12)-1)</f>
        <v/>
      </c>
      <c r="K169" s="25" t="str">
        <f>IF(OR(E169&lt;=0,G169&lt;=0),"",-PMT(J169,G169,E169))</f>
        <v/>
      </c>
      <c r="L169" s="25" t="str">
        <f>IF(K169="","",K169+I169)</f>
        <v/>
      </c>
      <c r="M169" s="25" t="str">
        <f>IF(L169="","",L169*G169+H169)</f>
        <v/>
      </c>
      <c r="N169" s="25" t="str">
        <f>IF(K169="","",K169*G169-E169)</f>
        <v/>
      </c>
      <c r="O169" s="17"/>
      <c r="P169" s="20"/>
      <c r="Q169" s="27" t="str">
        <f>IF(A169="","",IF(COUNTIF($A$4:$A$203,A169)&gt;1,"ID duplicado",IF(COUNTIF(Clientes!$A$4:$A$203,B169)=0,"Cliente não encontrado",IF(OR(E169&lt;=0,G169&lt;=0,F169&lt;0),"Revisar condições","OK"))))</f>
        <v/>
      </c>
    </row>
    <row r="170" spans="1:17" x14ac:dyDescent="0.3">
      <c r="A170" s="17"/>
      <c r="B170" s="17"/>
      <c r="C170" s="21" t="str">
        <f>IF(B170="","",IFERROR(INDEX(Clientes!$B$4:$B$203,MATCH(B170,Clientes!$A$4:$A$203,0)),"Cliente não encontrado"))</f>
        <v/>
      </c>
      <c r="D170" s="18"/>
      <c r="E170" s="22"/>
      <c r="F170" s="23"/>
      <c r="G170" s="26"/>
      <c r="H170" s="22"/>
      <c r="I170" s="22"/>
      <c r="J170" s="24" t="str">
        <f>IF(OR(E170="",F170="",G170=""),"",(1+F170)^(1/12)-1)</f>
        <v/>
      </c>
      <c r="K170" s="25" t="str">
        <f>IF(OR(E170&lt;=0,G170&lt;=0),"",-PMT(J170,G170,E170))</f>
        <v/>
      </c>
      <c r="L170" s="25" t="str">
        <f>IF(K170="","",K170+I170)</f>
        <v/>
      </c>
      <c r="M170" s="25" t="str">
        <f>IF(L170="","",L170*G170+H170)</f>
        <v/>
      </c>
      <c r="N170" s="25" t="str">
        <f>IF(K170="","",K170*G170-E170)</f>
        <v/>
      </c>
      <c r="O170" s="17"/>
      <c r="P170" s="20"/>
      <c r="Q170" s="27" t="str">
        <f>IF(A170="","",IF(COUNTIF($A$4:$A$203,A170)&gt;1,"ID duplicado",IF(COUNTIF(Clientes!$A$4:$A$203,B170)=0,"Cliente não encontrado",IF(OR(E170&lt;=0,G170&lt;=0,F170&lt;0),"Revisar condições","OK"))))</f>
        <v/>
      </c>
    </row>
    <row r="171" spans="1:17" x14ac:dyDescent="0.3">
      <c r="A171" s="17"/>
      <c r="B171" s="17"/>
      <c r="C171" s="21" t="str">
        <f>IF(B171="","",IFERROR(INDEX(Clientes!$B$4:$B$203,MATCH(B171,Clientes!$A$4:$A$203,0)),"Cliente não encontrado"))</f>
        <v/>
      </c>
      <c r="D171" s="18"/>
      <c r="E171" s="22"/>
      <c r="F171" s="23"/>
      <c r="G171" s="26"/>
      <c r="H171" s="22"/>
      <c r="I171" s="22"/>
      <c r="J171" s="24" t="str">
        <f>IF(OR(E171="",F171="",G171=""),"",(1+F171)^(1/12)-1)</f>
        <v/>
      </c>
      <c r="K171" s="25" t="str">
        <f>IF(OR(E171&lt;=0,G171&lt;=0),"",-PMT(J171,G171,E171))</f>
        <v/>
      </c>
      <c r="L171" s="25" t="str">
        <f>IF(K171="","",K171+I171)</f>
        <v/>
      </c>
      <c r="M171" s="25" t="str">
        <f>IF(L171="","",L171*G171+H171)</f>
        <v/>
      </c>
      <c r="N171" s="25" t="str">
        <f>IF(K171="","",K171*G171-E171)</f>
        <v/>
      </c>
      <c r="O171" s="17"/>
      <c r="P171" s="20"/>
      <c r="Q171" s="27" t="str">
        <f>IF(A171="","",IF(COUNTIF($A$4:$A$203,A171)&gt;1,"ID duplicado",IF(COUNTIF(Clientes!$A$4:$A$203,B171)=0,"Cliente não encontrado",IF(OR(E171&lt;=0,G171&lt;=0,F171&lt;0),"Revisar condições","OK"))))</f>
        <v/>
      </c>
    </row>
    <row r="172" spans="1:17" x14ac:dyDescent="0.3">
      <c r="A172" s="17"/>
      <c r="B172" s="17"/>
      <c r="C172" s="21" t="str">
        <f>IF(B172="","",IFERROR(INDEX(Clientes!$B$4:$B$203,MATCH(B172,Clientes!$A$4:$A$203,0)),"Cliente não encontrado"))</f>
        <v/>
      </c>
      <c r="D172" s="18"/>
      <c r="E172" s="22"/>
      <c r="F172" s="23"/>
      <c r="G172" s="26"/>
      <c r="H172" s="22"/>
      <c r="I172" s="22"/>
      <c r="J172" s="24" t="str">
        <f>IF(OR(E172="",F172="",G172=""),"",(1+F172)^(1/12)-1)</f>
        <v/>
      </c>
      <c r="K172" s="25" t="str">
        <f>IF(OR(E172&lt;=0,G172&lt;=0),"",-PMT(J172,G172,E172))</f>
        <v/>
      </c>
      <c r="L172" s="25" t="str">
        <f>IF(K172="","",K172+I172)</f>
        <v/>
      </c>
      <c r="M172" s="25" t="str">
        <f>IF(L172="","",L172*G172+H172)</f>
        <v/>
      </c>
      <c r="N172" s="25" t="str">
        <f>IF(K172="","",K172*G172-E172)</f>
        <v/>
      </c>
      <c r="O172" s="17"/>
      <c r="P172" s="20"/>
      <c r="Q172" s="27" t="str">
        <f>IF(A172="","",IF(COUNTIF($A$4:$A$203,A172)&gt;1,"ID duplicado",IF(COUNTIF(Clientes!$A$4:$A$203,B172)=0,"Cliente não encontrado",IF(OR(E172&lt;=0,G172&lt;=0,F172&lt;0),"Revisar condições","OK"))))</f>
        <v/>
      </c>
    </row>
    <row r="173" spans="1:17" x14ac:dyDescent="0.3">
      <c r="A173" s="17"/>
      <c r="B173" s="17"/>
      <c r="C173" s="21" t="str">
        <f>IF(B173="","",IFERROR(INDEX(Clientes!$B$4:$B$203,MATCH(B173,Clientes!$A$4:$A$203,0)),"Cliente não encontrado"))</f>
        <v/>
      </c>
      <c r="D173" s="18"/>
      <c r="E173" s="22"/>
      <c r="F173" s="23"/>
      <c r="G173" s="26"/>
      <c r="H173" s="22"/>
      <c r="I173" s="22"/>
      <c r="J173" s="24" t="str">
        <f>IF(OR(E173="",F173="",G173=""),"",(1+F173)^(1/12)-1)</f>
        <v/>
      </c>
      <c r="K173" s="25" t="str">
        <f>IF(OR(E173&lt;=0,G173&lt;=0),"",-PMT(J173,G173,E173))</f>
        <v/>
      </c>
      <c r="L173" s="25" t="str">
        <f>IF(K173="","",K173+I173)</f>
        <v/>
      </c>
      <c r="M173" s="25" t="str">
        <f>IF(L173="","",L173*G173+H173)</f>
        <v/>
      </c>
      <c r="N173" s="25" t="str">
        <f>IF(K173="","",K173*G173-E173)</f>
        <v/>
      </c>
      <c r="O173" s="17"/>
      <c r="P173" s="20"/>
      <c r="Q173" s="27" t="str">
        <f>IF(A173="","",IF(COUNTIF($A$4:$A$203,A173)&gt;1,"ID duplicado",IF(COUNTIF(Clientes!$A$4:$A$203,B173)=0,"Cliente não encontrado",IF(OR(E173&lt;=0,G173&lt;=0,F173&lt;0),"Revisar condições","OK"))))</f>
        <v/>
      </c>
    </row>
    <row r="174" spans="1:17" x14ac:dyDescent="0.3">
      <c r="A174" s="17"/>
      <c r="B174" s="17"/>
      <c r="C174" s="21" t="str">
        <f>IF(B174="","",IFERROR(INDEX(Clientes!$B$4:$B$203,MATCH(B174,Clientes!$A$4:$A$203,0)),"Cliente não encontrado"))</f>
        <v/>
      </c>
      <c r="D174" s="18"/>
      <c r="E174" s="22"/>
      <c r="F174" s="23"/>
      <c r="G174" s="26"/>
      <c r="H174" s="22"/>
      <c r="I174" s="22"/>
      <c r="J174" s="24" t="str">
        <f>IF(OR(E174="",F174="",G174=""),"",(1+F174)^(1/12)-1)</f>
        <v/>
      </c>
      <c r="K174" s="25" t="str">
        <f>IF(OR(E174&lt;=0,G174&lt;=0),"",-PMT(J174,G174,E174))</f>
        <v/>
      </c>
      <c r="L174" s="25" t="str">
        <f>IF(K174="","",K174+I174)</f>
        <v/>
      </c>
      <c r="M174" s="25" t="str">
        <f>IF(L174="","",L174*G174+H174)</f>
        <v/>
      </c>
      <c r="N174" s="25" t="str">
        <f>IF(K174="","",K174*G174-E174)</f>
        <v/>
      </c>
      <c r="O174" s="17"/>
      <c r="P174" s="20"/>
      <c r="Q174" s="27" t="str">
        <f>IF(A174="","",IF(COUNTIF($A$4:$A$203,A174)&gt;1,"ID duplicado",IF(COUNTIF(Clientes!$A$4:$A$203,B174)=0,"Cliente não encontrado",IF(OR(E174&lt;=0,G174&lt;=0,F174&lt;0),"Revisar condições","OK"))))</f>
        <v/>
      </c>
    </row>
    <row r="175" spans="1:17" x14ac:dyDescent="0.3">
      <c r="A175" s="17"/>
      <c r="B175" s="17"/>
      <c r="C175" s="21" t="str">
        <f>IF(B175="","",IFERROR(INDEX(Clientes!$B$4:$B$203,MATCH(B175,Clientes!$A$4:$A$203,0)),"Cliente não encontrado"))</f>
        <v/>
      </c>
      <c r="D175" s="18"/>
      <c r="E175" s="22"/>
      <c r="F175" s="23"/>
      <c r="G175" s="26"/>
      <c r="H175" s="22"/>
      <c r="I175" s="22"/>
      <c r="J175" s="24" t="str">
        <f>IF(OR(E175="",F175="",G175=""),"",(1+F175)^(1/12)-1)</f>
        <v/>
      </c>
      <c r="K175" s="25" t="str">
        <f>IF(OR(E175&lt;=0,G175&lt;=0),"",-PMT(J175,G175,E175))</f>
        <v/>
      </c>
      <c r="L175" s="25" t="str">
        <f>IF(K175="","",K175+I175)</f>
        <v/>
      </c>
      <c r="M175" s="25" t="str">
        <f>IF(L175="","",L175*G175+H175)</f>
        <v/>
      </c>
      <c r="N175" s="25" t="str">
        <f>IF(K175="","",K175*G175-E175)</f>
        <v/>
      </c>
      <c r="O175" s="17"/>
      <c r="P175" s="20"/>
      <c r="Q175" s="27" t="str">
        <f>IF(A175="","",IF(COUNTIF($A$4:$A$203,A175)&gt;1,"ID duplicado",IF(COUNTIF(Clientes!$A$4:$A$203,B175)=0,"Cliente não encontrado",IF(OR(E175&lt;=0,G175&lt;=0,F175&lt;0),"Revisar condições","OK"))))</f>
        <v/>
      </c>
    </row>
    <row r="176" spans="1:17" x14ac:dyDescent="0.3">
      <c r="A176" s="17"/>
      <c r="B176" s="17"/>
      <c r="C176" s="21" t="str">
        <f>IF(B176="","",IFERROR(INDEX(Clientes!$B$4:$B$203,MATCH(B176,Clientes!$A$4:$A$203,0)),"Cliente não encontrado"))</f>
        <v/>
      </c>
      <c r="D176" s="18"/>
      <c r="E176" s="22"/>
      <c r="F176" s="23"/>
      <c r="G176" s="26"/>
      <c r="H176" s="22"/>
      <c r="I176" s="22"/>
      <c r="J176" s="24" t="str">
        <f>IF(OR(E176="",F176="",G176=""),"",(1+F176)^(1/12)-1)</f>
        <v/>
      </c>
      <c r="K176" s="25" t="str">
        <f>IF(OR(E176&lt;=0,G176&lt;=0),"",-PMT(J176,G176,E176))</f>
        <v/>
      </c>
      <c r="L176" s="25" t="str">
        <f>IF(K176="","",K176+I176)</f>
        <v/>
      </c>
      <c r="M176" s="25" t="str">
        <f>IF(L176="","",L176*G176+H176)</f>
        <v/>
      </c>
      <c r="N176" s="25" t="str">
        <f>IF(K176="","",K176*G176-E176)</f>
        <v/>
      </c>
      <c r="O176" s="17"/>
      <c r="P176" s="20"/>
      <c r="Q176" s="27" t="str">
        <f>IF(A176="","",IF(COUNTIF($A$4:$A$203,A176)&gt;1,"ID duplicado",IF(COUNTIF(Clientes!$A$4:$A$203,B176)=0,"Cliente não encontrado",IF(OR(E176&lt;=0,G176&lt;=0,F176&lt;0),"Revisar condições","OK"))))</f>
        <v/>
      </c>
    </row>
    <row r="177" spans="1:17" x14ac:dyDescent="0.3">
      <c r="A177" s="17"/>
      <c r="B177" s="17"/>
      <c r="C177" s="21" t="str">
        <f>IF(B177="","",IFERROR(INDEX(Clientes!$B$4:$B$203,MATCH(B177,Clientes!$A$4:$A$203,0)),"Cliente não encontrado"))</f>
        <v/>
      </c>
      <c r="D177" s="18"/>
      <c r="E177" s="22"/>
      <c r="F177" s="23"/>
      <c r="G177" s="26"/>
      <c r="H177" s="22"/>
      <c r="I177" s="22"/>
      <c r="J177" s="24" t="str">
        <f>IF(OR(E177="",F177="",G177=""),"",(1+F177)^(1/12)-1)</f>
        <v/>
      </c>
      <c r="K177" s="25" t="str">
        <f>IF(OR(E177&lt;=0,G177&lt;=0),"",-PMT(J177,G177,E177))</f>
        <v/>
      </c>
      <c r="L177" s="25" t="str">
        <f>IF(K177="","",K177+I177)</f>
        <v/>
      </c>
      <c r="M177" s="25" t="str">
        <f>IF(L177="","",L177*G177+H177)</f>
        <v/>
      </c>
      <c r="N177" s="25" t="str">
        <f>IF(K177="","",K177*G177-E177)</f>
        <v/>
      </c>
      <c r="O177" s="17"/>
      <c r="P177" s="20"/>
      <c r="Q177" s="27" t="str">
        <f>IF(A177="","",IF(COUNTIF($A$4:$A$203,A177)&gt;1,"ID duplicado",IF(COUNTIF(Clientes!$A$4:$A$203,B177)=0,"Cliente não encontrado",IF(OR(E177&lt;=0,G177&lt;=0,F177&lt;0),"Revisar condições","OK"))))</f>
        <v/>
      </c>
    </row>
    <row r="178" spans="1:17" x14ac:dyDescent="0.3">
      <c r="A178" s="17"/>
      <c r="B178" s="17"/>
      <c r="C178" s="21" t="str">
        <f>IF(B178="","",IFERROR(INDEX(Clientes!$B$4:$B$203,MATCH(B178,Clientes!$A$4:$A$203,0)),"Cliente não encontrado"))</f>
        <v/>
      </c>
      <c r="D178" s="18"/>
      <c r="E178" s="22"/>
      <c r="F178" s="23"/>
      <c r="G178" s="26"/>
      <c r="H178" s="22"/>
      <c r="I178" s="22"/>
      <c r="J178" s="24" t="str">
        <f>IF(OR(E178="",F178="",G178=""),"",(1+F178)^(1/12)-1)</f>
        <v/>
      </c>
      <c r="K178" s="25" t="str">
        <f>IF(OR(E178&lt;=0,G178&lt;=0),"",-PMT(J178,G178,E178))</f>
        <v/>
      </c>
      <c r="L178" s="25" t="str">
        <f>IF(K178="","",K178+I178)</f>
        <v/>
      </c>
      <c r="M178" s="25" t="str">
        <f>IF(L178="","",L178*G178+H178)</f>
        <v/>
      </c>
      <c r="N178" s="25" t="str">
        <f>IF(K178="","",K178*G178-E178)</f>
        <v/>
      </c>
      <c r="O178" s="17"/>
      <c r="P178" s="20"/>
      <c r="Q178" s="27" t="str">
        <f>IF(A178="","",IF(COUNTIF($A$4:$A$203,A178)&gt;1,"ID duplicado",IF(COUNTIF(Clientes!$A$4:$A$203,B178)=0,"Cliente não encontrado",IF(OR(E178&lt;=0,G178&lt;=0,F178&lt;0),"Revisar condições","OK"))))</f>
        <v/>
      </c>
    </row>
    <row r="179" spans="1:17" x14ac:dyDescent="0.3">
      <c r="A179" s="17"/>
      <c r="B179" s="17"/>
      <c r="C179" s="21" t="str">
        <f>IF(B179="","",IFERROR(INDEX(Clientes!$B$4:$B$203,MATCH(B179,Clientes!$A$4:$A$203,0)),"Cliente não encontrado"))</f>
        <v/>
      </c>
      <c r="D179" s="18"/>
      <c r="E179" s="22"/>
      <c r="F179" s="23"/>
      <c r="G179" s="26"/>
      <c r="H179" s="22"/>
      <c r="I179" s="22"/>
      <c r="J179" s="24" t="str">
        <f>IF(OR(E179="",F179="",G179=""),"",(1+F179)^(1/12)-1)</f>
        <v/>
      </c>
      <c r="K179" s="25" t="str">
        <f>IF(OR(E179&lt;=0,G179&lt;=0),"",-PMT(J179,G179,E179))</f>
        <v/>
      </c>
      <c r="L179" s="25" t="str">
        <f>IF(K179="","",K179+I179)</f>
        <v/>
      </c>
      <c r="M179" s="25" t="str">
        <f>IF(L179="","",L179*G179+H179)</f>
        <v/>
      </c>
      <c r="N179" s="25" t="str">
        <f>IF(K179="","",K179*G179-E179)</f>
        <v/>
      </c>
      <c r="O179" s="17"/>
      <c r="P179" s="20"/>
      <c r="Q179" s="27" t="str">
        <f>IF(A179="","",IF(COUNTIF($A$4:$A$203,A179)&gt;1,"ID duplicado",IF(COUNTIF(Clientes!$A$4:$A$203,B179)=0,"Cliente não encontrado",IF(OR(E179&lt;=0,G179&lt;=0,F179&lt;0),"Revisar condições","OK"))))</f>
        <v/>
      </c>
    </row>
    <row r="180" spans="1:17" x14ac:dyDescent="0.3">
      <c r="A180" s="17"/>
      <c r="B180" s="17"/>
      <c r="C180" s="21" t="str">
        <f>IF(B180="","",IFERROR(INDEX(Clientes!$B$4:$B$203,MATCH(B180,Clientes!$A$4:$A$203,0)),"Cliente não encontrado"))</f>
        <v/>
      </c>
      <c r="D180" s="18"/>
      <c r="E180" s="22"/>
      <c r="F180" s="23"/>
      <c r="G180" s="26"/>
      <c r="H180" s="22"/>
      <c r="I180" s="22"/>
      <c r="J180" s="24" t="str">
        <f>IF(OR(E180="",F180="",G180=""),"",(1+F180)^(1/12)-1)</f>
        <v/>
      </c>
      <c r="K180" s="25" t="str">
        <f>IF(OR(E180&lt;=0,G180&lt;=0),"",-PMT(J180,G180,E180))</f>
        <v/>
      </c>
      <c r="L180" s="25" t="str">
        <f>IF(K180="","",K180+I180)</f>
        <v/>
      </c>
      <c r="M180" s="25" t="str">
        <f>IF(L180="","",L180*G180+H180)</f>
        <v/>
      </c>
      <c r="N180" s="25" t="str">
        <f>IF(K180="","",K180*G180-E180)</f>
        <v/>
      </c>
      <c r="O180" s="17"/>
      <c r="P180" s="20"/>
      <c r="Q180" s="27" t="str">
        <f>IF(A180="","",IF(COUNTIF($A$4:$A$203,A180)&gt;1,"ID duplicado",IF(COUNTIF(Clientes!$A$4:$A$203,B180)=0,"Cliente não encontrado",IF(OR(E180&lt;=0,G180&lt;=0,F180&lt;0),"Revisar condições","OK"))))</f>
        <v/>
      </c>
    </row>
    <row r="181" spans="1:17" x14ac:dyDescent="0.3">
      <c r="A181" s="17"/>
      <c r="B181" s="17"/>
      <c r="C181" s="21" t="str">
        <f>IF(B181="","",IFERROR(INDEX(Clientes!$B$4:$B$203,MATCH(B181,Clientes!$A$4:$A$203,0)),"Cliente não encontrado"))</f>
        <v/>
      </c>
      <c r="D181" s="18"/>
      <c r="E181" s="22"/>
      <c r="F181" s="23"/>
      <c r="G181" s="26"/>
      <c r="H181" s="22"/>
      <c r="I181" s="22"/>
      <c r="J181" s="24" t="str">
        <f>IF(OR(E181="",F181="",G181=""),"",(1+F181)^(1/12)-1)</f>
        <v/>
      </c>
      <c r="K181" s="25" t="str">
        <f>IF(OR(E181&lt;=0,G181&lt;=0),"",-PMT(J181,G181,E181))</f>
        <v/>
      </c>
      <c r="L181" s="25" t="str">
        <f>IF(K181="","",K181+I181)</f>
        <v/>
      </c>
      <c r="M181" s="25" t="str">
        <f>IF(L181="","",L181*G181+H181)</f>
        <v/>
      </c>
      <c r="N181" s="25" t="str">
        <f>IF(K181="","",K181*G181-E181)</f>
        <v/>
      </c>
      <c r="O181" s="17"/>
      <c r="P181" s="20"/>
      <c r="Q181" s="27" t="str">
        <f>IF(A181="","",IF(COUNTIF($A$4:$A$203,A181)&gt;1,"ID duplicado",IF(COUNTIF(Clientes!$A$4:$A$203,B181)=0,"Cliente não encontrado",IF(OR(E181&lt;=0,G181&lt;=0,F181&lt;0),"Revisar condições","OK"))))</f>
        <v/>
      </c>
    </row>
    <row r="182" spans="1:17" x14ac:dyDescent="0.3">
      <c r="A182" s="17"/>
      <c r="B182" s="17"/>
      <c r="C182" s="21" t="str">
        <f>IF(B182="","",IFERROR(INDEX(Clientes!$B$4:$B$203,MATCH(B182,Clientes!$A$4:$A$203,0)),"Cliente não encontrado"))</f>
        <v/>
      </c>
      <c r="D182" s="18"/>
      <c r="E182" s="22"/>
      <c r="F182" s="23"/>
      <c r="G182" s="26"/>
      <c r="H182" s="22"/>
      <c r="I182" s="22"/>
      <c r="J182" s="24" t="str">
        <f>IF(OR(E182="",F182="",G182=""),"",(1+F182)^(1/12)-1)</f>
        <v/>
      </c>
      <c r="K182" s="25" t="str">
        <f>IF(OR(E182&lt;=0,G182&lt;=0),"",-PMT(J182,G182,E182))</f>
        <v/>
      </c>
      <c r="L182" s="25" t="str">
        <f>IF(K182="","",K182+I182)</f>
        <v/>
      </c>
      <c r="M182" s="25" t="str">
        <f>IF(L182="","",L182*G182+H182)</f>
        <v/>
      </c>
      <c r="N182" s="25" t="str">
        <f>IF(K182="","",K182*G182-E182)</f>
        <v/>
      </c>
      <c r="O182" s="17"/>
      <c r="P182" s="20"/>
      <c r="Q182" s="27" t="str">
        <f>IF(A182="","",IF(COUNTIF($A$4:$A$203,A182)&gt;1,"ID duplicado",IF(COUNTIF(Clientes!$A$4:$A$203,B182)=0,"Cliente não encontrado",IF(OR(E182&lt;=0,G182&lt;=0,F182&lt;0),"Revisar condições","OK"))))</f>
        <v/>
      </c>
    </row>
    <row r="183" spans="1:17" x14ac:dyDescent="0.3">
      <c r="A183" s="17"/>
      <c r="B183" s="17"/>
      <c r="C183" s="21" t="str">
        <f>IF(B183="","",IFERROR(INDEX(Clientes!$B$4:$B$203,MATCH(B183,Clientes!$A$4:$A$203,0)),"Cliente não encontrado"))</f>
        <v/>
      </c>
      <c r="D183" s="18"/>
      <c r="E183" s="22"/>
      <c r="F183" s="23"/>
      <c r="G183" s="26"/>
      <c r="H183" s="22"/>
      <c r="I183" s="22"/>
      <c r="J183" s="24" t="str">
        <f>IF(OR(E183="",F183="",G183=""),"",(1+F183)^(1/12)-1)</f>
        <v/>
      </c>
      <c r="K183" s="25" t="str">
        <f>IF(OR(E183&lt;=0,G183&lt;=0),"",-PMT(J183,G183,E183))</f>
        <v/>
      </c>
      <c r="L183" s="25" t="str">
        <f>IF(K183="","",K183+I183)</f>
        <v/>
      </c>
      <c r="M183" s="25" t="str">
        <f>IF(L183="","",L183*G183+H183)</f>
        <v/>
      </c>
      <c r="N183" s="25" t="str">
        <f>IF(K183="","",K183*G183-E183)</f>
        <v/>
      </c>
      <c r="O183" s="17"/>
      <c r="P183" s="20"/>
      <c r="Q183" s="27" t="str">
        <f>IF(A183="","",IF(COUNTIF($A$4:$A$203,A183)&gt;1,"ID duplicado",IF(COUNTIF(Clientes!$A$4:$A$203,B183)=0,"Cliente não encontrado",IF(OR(E183&lt;=0,G183&lt;=0,F183&lt;0),"Revisar condições","OK"))))</f>
        <v/>
      </c>
    </row>
    <row r="184" spans="1:17" x14ac:dyDescent="0.3">
      <c r="A184" s="17"/>
      <c r="B184" s="17"/>
      <c r="C184" s="21" t="str">
        <f>IF(B184="","",IFERROR(INDEX(Clientes!$B$4:$B$203,MATCH(B184,Clientes!$A$4:$A$203,0)),"Cliente não encontrado"))</f>
        <v/>
      </c>
      <c r="D184" s="18"/>
      <c r="E184" s="22"/>
      <c r="F184" s="23"/>
      <c r="G184" s="26"/>
      <c r="H184" s="22"/>
      <c r="I184" s="22"/>
      <c r="J184" s="24" t="str">
        <f>IF(OR(E184="",F184="",G184=""),"",(1+F184)^(1/12)-1)</f>
        <v/>
      </c>
      <c r="K184" s="25" t="str">
        <f>IF(OR(E184&lt;=0,G184&lt;=0),"",-PMT(J184,G184,E184))</f>
        <v/>
      </c>
      <c r="L184" s="25" t="str">
        <f>IF(K184="","",K184+I184)</f>
        <v/>
      </c>
      <c r="M184" s="25" t="str">
        <f>IF(L184="","",L184*G184+H184)</f>
        <v/>
      </c>
      <c r="N184" s="25" t="str">
        <f>IF(K184="","",K184*G184-E184)</f>
        <v/>
      </c>
      <c r="O184" s="17"/>
      <c r="P184" s="20"/>
      <c r="Q184" s="27" t="str">
        <f>IF(A184="","",IF(COUNTIF($A$4:$A$203,A184)&gt;1,"ID duplicado",IF(COUNTIF(Clientes!$A$4:$A$203,B184)=0,"Cliente não encontrado",IF(OR(E184&lt;=0,G184&lt;=0,F184&lt;0),"Revisar condições","OK"))))</f>
        <v/>
      </c>
    </row>
    <row r="185" spans="1:17" x14ac:dyDescent="0.3">
      <c r="A185" s="17"/>
      <c r="B185" s="17"/>
      <c r="C185" s="21" t="str">
        <f>IF(B185="","",IFERROR(INDEX(Clientes!$B$4:$B$203,MATCH(B185,Clientes!$A$4:$A$203,0)),"Cliente não encontrado"))</f>
        <v/>
      </c>
      <c r="D185" s="18"/>
      <c r="E185" s="22"/>
      <c r="F185" s="23"/>
      <c r="G185" s="26"/>
      <c r="H185" s="22"/>
      <c r="I185" s="22"/>
      <c r="J185" s="24" t="str">
        <f>IF(OR(E185="",F185="",G185=""),"",(1+F185)^(1/12)-1)</f>
        <v/>
      </c>
      <c r="K185" s="25" t="str">
        <f>IF(OR(E185&lt;=0,G185&lt;=0),"",-PMT(J185,G185,E185))</f>
        <v/>
      </c>
      <c r="L185" s="25" t="str">
        <f>IF(K185="","",K185+I185)</f>
        <v/>
      </c>
      <c r="M185" s="25" t="str">
        <f>IF(L185="","",L185*G185+H185)</f>
        <v/>
      </c>
      <c r="N185" s="25" t="str">
        <f>IF(K185="","",K185*G185-E185)</f>
        <v/>
      </c>
      <c r="O185" s="17"/>
      <c r="P185" s="20"/>
      <c r="Q185" s="27" t="str">
        <f>IF(A185="","",IF(COUNTIF($A$4:$A$203,A185)&gt;1,"ID duplicado",IF(COUNTIF(Clientes!$A$4:$A$203,B185)=0,"Cliente não encontrado",IF(OR(E185&lt;=0,G185&lt;=0,F185&lt;0),"Revisar condições","OK"))))</f>
        <v/>
      </c>
    </row>
    <row r="186" spans="1:17" x14ac:dyDescent="0.3">
      <c r="A186" s="17"/>
      <c r="B186" s="17"/>
      <c r="C186" s="21" t="str">
        <f>IF(B186="","",IFERROR(INDEX(Clientes!$B$4:$B$203,MATCH(B186,Clientes!$A$4:$A$203,0)),"Cliente não encontrado"))</f>
        <v/>
      </c>
      <c r="D186" s="18"/>
      <c r="E186" s="22"/>
      <c r="F186" s="23"/>
      <c r="G186" s="26"/>
      <c r="H186" s="22"/>
      <c r="I186" s="22"/>
      <c r="J186" s="24" t="str">
        <f>IF(OR(E186="",F186="",G186=""),"",(1+F186)^(1/12)-1)</f>
        <v/>
      </c>
      <c r="K186" s="25" t="str">
        <f>IF(OR(E186&lt;=0,G186&lt;=0),"",-PMT(J186,G186,E186))</f>
        <v/>
      </c>
      <c r="L186" s="25" t="str">
        <f>IF(K186="","",K186+I186)</f>
        <v/>
      </c>
      <c r="M186" s="25" t="str">
        <f>IF(L186="","",L186*G186+H186)</f>
        <v/>
      </c>
      <c r="N186" s="25" t="str">
        <f>IF(K186="","",K186*G186-E186)</f>
        <v/>
      </c>
      <c r="O186" s="17"/>
      <c r="P186" s="20"/>
      <c r="Q186" s="27" t="str">
        <f>IF(A186="","",IF(COUNTIF($A$4:$A$203,A186)&gt;1,"ID duplicado",IF(COUNTIF(Clientes!$A$4:$A$203,B186)=0,"Cliente não encontrado",IF(OR(E186&lt;=0,G186&lt;=0,F186&lt;0),"Revisar condições","OK"))))</f>
        <v/>
      </c>
    </row>
    <row r="187" spans="1:17" x14ac:dyDescent="0.3">
      <c r="A187" s="17"/>
      <c r="B187" s="17"/>
      <c r="C187" s="21" t="str">
        <f>IF(B187="","",IFERROR(INDEX(Clientes!$B$4:$B$203,MATCH(B187,Clientes!$A$4:$A$203,0)),"Cliente não encontrado"))</f>
        <v/>
      </c>
      <c r="D187" s="18"/>
      <c r="E187" s="22"/>
      <c r="F187" s="23"/>
      <c r="G187" s="26"/>
      <c r="H187" s="22"/>
      <c r="I187" s="22"/>
      <c r="J187" s="24" t="str">
        <f>IF(OR(E187="",F187="",G187=""),"",(1+F187)^(1/12)-1)</f>
        <v/>
      </c>
      <c r="K187" s="25" t="str">
        <f>IF(OR(E187&lt;=0,G187&lt;=0),"",-PMT(J187,G187,E187))</f>
        <v/>
      </c>
      <c r="L187" s="25" t="str">
        <f>IF(K187="","",K187+I187)</f>
        <v/>
      </c>
      <c r="M187" s="25" t="str">
        <f>IF(L187="","",L187*G187+H187)</f>
        <v/>
      </c>
      <c r="N187" s="25" t="str">
        <f>IF(K187="","",K187*G187-E187)</f>
        <v/>
      </c>
      <c r="O187" s="17"/>
      <c r="P187" s="20"/>
      <c r="Q187" s="27" t="str">
        <f>IF(A187="","",IF(COUNTIF($A$4:$A$203,A187)&gt;1,"ID duplicado",IF(COUNTIF(Clientes!$A$4:$A$203,B187)=0,"Cliente não encontrado",IF(OR(E187&lt;=0,G187&lt;=0,F187&lt;0),"Revisar condições","OK"))))</f>
        <v/>
      </c>
    </row>
    <row r="188" spans="1:17" x14ac:dyDescent="0.3">
      <c r="A188" s="17"/>
      <c r="B188" s="17"/>
      <c r="C188" s="21" t="str">
        <f>IF(B188="","",IFERROR(INDEX(Clientes!$B$4:$B$203,MATCH(B188,Clientes!$A$4:$A$203,0)),"Cliente não encontrado"))</f>
        <v/>
      </c>
      <c r="D188" s="18"/>
      <c r="E188" s="22"/>
      <c r="F188" s="23"/>
      <c r="G188" s="26"/>
      <c r="H188" s="22"/>
      <c r="I188" s="22"/>
      <c r="J188" s="24" t="str">
        <f>IF(OR(E188="",F188="",G188=""),"",(1+F188)^(1/12)-1)</f>
        <v/>
      </c>
      <c r="K188" s="25" t="str">
        <f>IF(OR(E188&lt;=0,G188&lt;=0),"",-PMT(J188,G188,E188))</f>
        <v/>
      </c>
      <c r="L188" s="25" t="str">
        <f>IF(K188="","",K188+I188)</f>
        <v/>
      </c>
      <c r="M188" s="25" t="str">
        <f>IF(L188="","",L188*G188+H188)</f>
        <v/>
      </c>
      <c r="N188" s="25" t="str">
        <f>IF(K188="","",K188*G188-E188)</f>
        <v/>
      </c>
      <c r="O188" s="17"/>
      <c r="P188" s="20"/>
      <c r="Q188" s="27" t="str">
        <f>IF(A188="","",IF(COUNTIF($A$4:$A$203,A188)&gt;1,"ID duplicado",IF(COUNTIF(Clientes!$A$4:$A$203,B188)=0,"Cliente não encontrado",IF(OR(E188&lt;=0,G188&lt;=0,F188&lt;0),"Revisar condições","OK"))))</f>
        <v/>
      </c>
    </row>
    <row r="189" spans="1:17" x14ac:dyDescent="0.3">
      <c r="A189" s="17"/>
      <c r="B189" s="17"/>
      <c r="C189" s="21" t="str">
        <f>IF(B189="","",IFERROR(INDEX(Clientes!$B$4:$B$203,MATCH(B189,Clientes!$A$4:$A$203,0)),"Cliente não encontrado"))</f>
        <v/>
      </c>
      <c r="D189" s="18"/>
      <c r="E189" s="22"/>
      <c r="F189" s="23"/>
      <c r="G189" s="26"/>
      <c r="H189" s="22"/>
      <c r="I189" s="22"/>
      <c r="J189" s="24" t="str">
        <f>IF(OR(E189="",F189="",G189=""),"",(1+F189)^(1/12)-1)</f>
        <v/>
      </c>
      <c r="K189" s="25" t="str">
        <f>IF(OR(E189&lt;=0,G189&lt;=0),"",-PMT(J189,G189,E189))</f>
        <v/>
      </c>
      <c r="L189" s="25" t="str">
        <f>IF(K189="","",K189+I189)</f>
        <v/>
      </c>
      <c r="M189" s="25" t="str">
        <f>IF(L189="","",L189*G189+H189)</f>
        <v/>
      </c>
      <c r="N189" s="25" t="str">
        <f>IF(K189="","",K189*G189-E189)</f>
        <v/>
      </c>
      <c r="O189" s="17"/>
      <c r="P189" s="20"/>
      <c r="Q189" s="27" t="str">
        <f>IF(A189="","",IF(COUNTIF($A$4:$A$203,A189)&gt;1,"ID duplicado",IF(COUNTIF(Clientes!$A$4:$A$203,B189)=0,"Cliente não encontrado",IF(OR(E189&lt;=0,G189&lt;=0,F189&lt;0),"Revisar condições","OK"))))</f>
        <v/>
      </c>
    </row>
    <row r="190" spans="1:17" x14ac:dyDescent="0.3">
      <c r="A190" s="17"/>
      <c r="B190" s="17"/>
      <c r="C190" s="21" t="str">
        <f>IF(B190="","",IFERROR(INDEX(Clientes!$B$4:$B$203,MATCH(B190,Clientes!$A$4:$A$203,0)),"Cliente não encontrado"))</f>
        <v/>
      </c>
      <c r="D190" s="18"/>
      <c r="E190" s="22"/>
      <c r="F190" s="23"/>
      <c r="G190" s="26"/>
      <c r="H190" s="22"/>
      <c r="I190" s="22"/>
      <c r="J190" s="24" t="str">
        <f>IF(OR(E190="",F190="",G190=""),"",(1+F190)^(1/12)-1)</f>
        <v/>
      </c>
      <c r="K190" s="25" t="str">
        <f>IF(OR(E190&lt;=0,G190&lt;=0),"",-PMT(J190,G190,E190))</f>
        <v/>
      </c>
      <c r="L190" s="25" t="str">
        <f>IF(K190="","",K190+I190)</f>
        <v/>
      </c>
      <c r="M190" s="25" t="str">
        <f>IF(L190="","",L190*G190+H190)</f>
        <v/>
      </c>
      <c r="N190" s="25" t="str">
        <f>IF(K190="","",K190*G190-E190)</f>
        <v/>
      </c>
      <c r="O190" s="17"/>
      <c r="P190" s="20"/>
      <c r="Q190" s="27" t="str">
        <f>IF(A190="","",IF(COUNTIF($A$4:$A$203,A190)&gt;1,"ID duplicado",IF(COUNTIF(Clientes!$A$4:$A$203,B190)=0,"Cliente não encontrado",IF(OR(E190&lt;=0,G190&lt;=0,F190&lt;0),"Revisar condições","OK"))))</f>
        <v/>
      </c>
    </row>
    <row r="191" spans="1:17" x14ac:dyDescent="0.3">
      <c r="A191" s="17"/>
      <c r="B191" s="17"/>
      <c r="C191" s="21" t="str">
        <f>IF(B191="","",IFERROR(INDEX(Clientes!$B$4:$B$203,MATCH(B191,Clientes!$A$4:$A$203,0)),"Cliente não encontrado"))</f>
        <v/>
      </c>
      <c r="D191" s="18"/>
      <c r="E191" s="22"/>
      <c r="F191" s="23"/>
      <c r="G191" s="26"/>
      <c r="H191" s="22"/>
      <c r="I191" s="22"/>
      <c r="J191" s="24" t="str">
        <f>IF(OR(E191="",F191="",G191=""),"",(1+F191)^(1/12)-1)</f>
        <v/>
      </c>
      <c r="K191" s="25" t="str">
        <f>IF(OR(E191&lt;=0,G191&lt;=0),"",-PMT(J191,G191,E191))</f>
        <v/>
      </c>
      <c r="L191" s="25" t="str">
        <f>IF(K191="","",K191+I191)</f>
        <v/>
      </c>
      <c r="M191" s="25" t="str">
        <f>IF(L191="","",L191*G191+H191)</f>
        <v/>
      </c>
      <c r="N191" s="25" t="str">
        <f>IF(K191="","",K191*G191-E191)</f>
        <v/>
      </c>
      <c r="O191" s="17"/>
      <c r="P191" s="20"/>
      <c r="Q191" s="27" t="str">
        <f>IF(A191="","",IF(COUNTIF($A$4:$A$203,A191)&gt;1,"ID duplicado",IF(COUNTIF(Clientes!$A$4:$A$203,B191)=0,"Cliente não encontrado",IF(OR(E191&lt;=0,G191&lt;=0,F191&lt;0),"Revisar condições","OK"))))</f>
        <v/>
      </c>
    </row>
    <row r="192" spans="1:17" x14ac:dyDescent="0.3">
      <c r="A192" s="17"/>
      <c r="B192" s="17"/>
      <c r="C192" s="21" t="str">
        <f>IF(B192="","",IFERROR(INDEX(Clientes!$B$4:$B$203,MATCH(B192,Clientes!$A$4:$A$203,0)),"Cliente não encontrado"))</f>
        <v/>
      </c>
      <c r="D192" s="18"/>
      <c r="E192" s="22"/>
      <c r="F192" s="23"/>
      <c r="G192" s="26"/>
      <c r="H192" s="22"/>
      <c r="I192" s="22"/>
      <c r="J192" s="24" t="str">
        <f>IF(OR(E192="",F192="",G192=""),"",(1+F192)^(1/12)-1)</f>
        <v/>
      </c>
      <c r="K192" s="25" t="str">
        <f>IF(OR(E192&lt;=0,G192&lt;=0),"",-PMT(J192,G192,E192))</f>
        <v/>
      </c>
      <c r="L192" s="25" t="str">
        <f>IF(K192="","",K192+I192)</f>
        <v/>
      </c>
      <c r="M192" s="25" t="str">
        <f>IF(L192="","",L192*G192+H192)</f>
        <v/>
      </c>
      <c r="N192" s="25" t="str">
        <f>IF(K192="","",K192*G192-E192)</f>
        <v/>
      </c>
      <c r="O192" s="17"/>
      <c r="P192" s="20"/>
      <c r="Q192" s="27" t="str">
        <f>IF(A192="","",IF(COUNTIF($A$4:$A$203,A192)&gt;1,"ID duplicado",IF(COUNTIF(Clientes!$A$4:$A$203,B192)=0,"Cliente não encontrado",IF(OR(E192&lt;=0,G192&lt;=0,F192&lt;0),"Revisar condições","OK"))))</f>
        <v/>
      </c>
    </row>
    <row r="193" spans="1:17" x14ac:dyDescent="0.3">
      <c r="A193" s="17"/>
      <c r="B193" s="17"/>
      <c r="C193" s="21" t="str">
        <f>IF(B193="","",IFERROR(INDEX(Clientes!$B$4:$B$203,MATCH(B193,Clientes!$A$4:$A$203,0)),"Cliente não encontrado"))</f>
        <v/>
      </c>
      <c r="D193" s="18"/>
      <c r="E193" s="22"/>
      <c r="F193" s="23"/>
      <c r="G193" s="26"/>
      <c r="H193" s="22"/>
      <c r="I193" s="22"/>
      <c r="J193" s="24" t="str">
        <f>IF(OR(E193="",F193="",G193=""),"",(1+F193)^(1/12)-1)</f>
        <v/>
      </c>
      <c r="K193" s="25" t="str">
        <f>IF(OR(E193&lt;=0,G193&lt;=0),"",-PMT(J193,G193,E193))</f>
        <v/>
      </c>
      <c r="L193" s="25" t="str">
        <f>IF(K193="","",K193+I193)</f>
        <v/>
      </c>
      <c r="M193" s="25" t="str">
        <f>IF(L193="","",L193*G193+H193)</f>
        <v/>
      </c>
      <c r="N193" s="25" t="str">
        <f>IF(K193="","",K193*G193-E193)</f>
        <v/>
      </c>
      <c r="O193" s="17"/>
      <c r="P193" s="20"/>
      <c r="Q193" s="27" t="str">
        <f>IF(A193="","",IF(COUNTIF($A$4:$A$203,A193)&gt;1,"ID duplicado",IF(COUNTIF(Clientes!$A$4:$A$203,B193)=0,"Cliente não encontrado",IF(OR(E193&lt;=0,G193&lt;=0,F193&lt;0),"Revisar condições","OK"))))</f>
        <v/>
      </c>
    </row>
    <row r="194" spans="1:17" x14ac:dyDescent="0.3">
      <c r="A194" s="17"/>
      <c r="B194" s="17"/>
      <c r="C194" s="21" t="str">
        <f>IF(B194="","",IFERROR(INDEX(Clientes!$B$4:$B$203,MATCH(B194,Clientes!$A$4:$A$203,0)),"Cliente não encontrado"))</f>
        <v/>
      </c>
      <c r="D194" s="18"/>
      <c r="E194" s="22"/>
      <c r="F194" s="23"/>
      <c r="G194" s="26"/>
      <c r="H194" s="22"/>
      <c r="I194" s="22"/>
      <c r="J194" s="24" t="str">
        <f>IF(OR(E194="",F194="",G194=""),"",(1+F194)^(1/12)-1)</f>
        <v/>
      </c>
      <c r="K194" s="25" t="str">
        <f>IF(OR(E194&lt;=0,G194&lt;=0),"",-PMT(J194,G194,E194))</f>
        <v/>
      </c>
      <c r="L194" s="25" t="str">
        <f>IF(K194="","",K194+I194)</f>
        <v/>
      </c>
      <c r="M194" s="25" t="str">
        <f>IF(L194="","",L194*G194+H194)</f>
        <v/>
      </c>
      <c r="N194" s="25" t="str">
        <f>IF(K194="","",K194*G194-E194)</f>
        <v/>
      </c>
      <c r="O194" s="17"/>
      <c r="P194" s="20"/>
      <c r="Q194" s="27" t="str">
        <f>IF(A194="","",IF(COUNTIF($A$4:$A$203,A194)&gt;1,"ID duplicado",IF(COUNTIF(Clientes!$A$4:$A$203,B194)=0,"Cliente não encontrado",IF(OR(E194&lt;=0,G194&lt;=0,F194&lt;0),"Revisar condições","OK"))))</f>
        <v/>
      </c>
    </row>
    <row r="195" spans="1:17" x14ac:dyDescent="0.3">
      <c r="A195" s="17"/>
      <c r="B195" s="17"/>
      <c r="C195" s="21" t="str">
        <f>IF(B195="","",IFERROR(INDEX(Clientes!$B$4:$B$203,MATCH(B195,Clientes!$A$4:$A$203,0)),"Cliente não encontrado"))</f>
        <v/>
      </c>
      <c r="D195" s="18"/>
      <c r="E195" s="22"/>
      <c r="F195" s="23"/>
      <c r="G195" s="26"/>
      <c r="H195" s="22"/>
      <c r="I195" s="22"/>
      <c r="J195" s="24" t="str">
        <f>IF(OR(E195="",F195="",G195=""),"",(1+F195)^(1/12)-1)</f>
        <v/>
      </c>
      <c r="K195" s="25" t="str">
        <f>IF(OR(E195&lt;=0,G195&lt;=0),"",-PMT(J195,G195,E195))</f>
        <v/>
      </c>
      <c r="L195" s="25" t="str">
        <f>IF(K195="","",K195+I195)</f>
        <v/>
      </c>
      <c r="M195" s="25" t="str">
        <f>IF(L195="","",L195*G195+H195)</f>
        <v/>
      </c>
      <c r="N195" s="25" t="str">
        <f>IF(K195="","",K195*G195-E195)</f>
        <v/>
      </c>
      <c r="O195" s="17"/>
      <c r="P195" s="20"/>
      <c r="Q195" s="27" t="str">
        <f>IF(A195="","",IF(COUNTIF($A$4:$A$203,A195)&gt;1,"ID duplicado",IF(COUNTIF(Clientes!$A$4:$A$203,B195)=0,"Cliente não encontrado",IF(OR(E195&lt;=0,G195&lt;=0,F195&lt;0),"Revisar condições","OK"))))</f>
        <v/>
      </c>
    </row>
    <row r="196" spans="1:17" x14ac:dyDescent="0.3">
      <c r="A196" s="17"/>
      <c r="B196" s="17"/>
      <c r="C196" s="21" t="str">
        <f>IF(B196="","",IFERROR(INDEX(Clientes!$B$4:$B$203,MATCH(B196,Clientes!$A$4:$A$203,0)),"Cliente não encontrado"))</f>
        <v/>
      </c>
      <c r="D196" s="18"/>
      <c r="E196" s="22"/>
      <c r="F196" s="23"/>
      <c r="G196" s="26"/>
      <c r="H196" s="22"/>
      <c r="I196" s="22"/>
      <c r="J196" s="24" t="str">
        <f>IF(OR(E196="",F196="",G196=""),"",(1+F196)^(1/12)-1)</f>
        <v/>
      </c>
      <c r="K196" s="25" t="str">
        <f>IF(OR(E196&lt;=0,G196&lt;=0),"",-PMT(J196,G196,E196))</f>
        <v/>
      </c>
      <c r="L196" s="25" t="str">
        <f>IF(K196="","",K196+I196)</f>
        <v/>
      </c>
      <c r="M196" s="25" t="str">
        <f>IF(L196="","",L196*G196+H196)</f>
        <v/>
      </c>
      <c r="N196" s="25" t="str">
        <f>IF(K196="","",K196*G196-E196)</f>
        <v/>
      </c>
      <c r="O196" s="17"/>
      <c r="P196" s="20"/>
      <c r="Q196" s="27" t="str">
        <f>IF(A196="","",IF(COUNTIF($A$4:$A$203,A196)&gt;1,"ID duplicado",IF(COUNTIF(Clientes!$A$4:$A$203,B196)=0,"Cliente não encontrado",IF(OR(E196&lt;=0,G196&lt;=0,F196&lt;0),"Revisar condições","OK"))))</f>
        <v/>
      </c>
    </row>
    <row r="197" spans="1:17" x14ac:dyDescent="0.3">
      <c r="A197" s="17"/>
      <c r="B197" s="17"/>
      <c r="C197" s="21" t="str">
        <f>IF(B197="","",IFERROR(INDEX(Clientes!$B$4:$B$203,MATCH(B197,Clientes!$A$4:$A$203,0)),"Cliente não encontrado"))</f>
        <v/>
      </c>
      <c r="D197" s="18"/>
      <c r="E197" s="22"/>
      <c r="F197" s="23"/>
      <c r="G197" s="26"/>
      <c r="H197" s="22"/>
      <c r="I197" s="22"/>
      <c r="J197" s="24" t="str">
        <f>IF(OR(E197="",F197="",G197=""),"",(1+F197)^(1/12)-1)</f>
        <v/>
      </c>
      <c r="K197" s="25" t="str">
        <f>IF(OR(E197&lt;=0,G197&lt;=0),"",-PMT(J197,G197,E197))</f>
        <v/>
      </c>
      <c r="L197" s="25" t="str">
        <f>IF(K197="","",K197+I197)</f>
        <v/>
      </c>
      <c r="M197" s="25" t="str">
        <f>IF(L197="","",L197*G197+H197)</f>
        <v/>
      </c>
      <c r="N197" s="25" t="str">
        <f>IF(K197="","",K197*G197-E197)</f>
        <v/>
      </c>
      <c r="O197" s="17"/>
      <c r="P197" s="20"/>
      <c r="Q197" s="27" t="str">
        <f>IF(A197="","",IF(COUNTIF($A$4:$A$203,A197)&gt;1,"ID duplicado",IF(COUNTIF(Clientes!$A$4:$A$203,B197)=0,"Cliente não encontrado",IF(OR(E197&lt;=0,G197&lt;=0,F197&lt;0),"Revisar condições","OK"))))</f>
        <v/>
      </c>
    </row>
    <row r="198" spans="1:17" x14ac:dyDescent="0.3">
      <c r="A198" s="17"/>
      <c r="B198" s="17"/>
      <c r="C198" s="21" t="str">
        <f>IF(B198="","",IFERROR(INDEX(Clientes!$B$4:$B$203,MATCH(B198,Clientes!$A$4:$A$203,0)),"Cliente não encontrado"))</f>
        <v/>
      </c>
      <c r="D198" s="18"/>
      <c r="E198" s="22"/>
      <c r="F198" s="23"/>
      <c r="G198" s="26"/>
      <c r="H198" s="22"/>
      <c r="I198" s="22"/>
      <c r="J198" s="24" t="str">
        <f>IF(OR(E198="",F198="",G198=""),"",(1+F198)^(1/12)-1)</f>
        <v/>
      </c>
      <c r="K198" s="25" t="str">
        <f>IF(OR(E198&lt;=0,G198&lt;=0),"",-PMT(J198,G198,E198))</f>
        <v/>
      </c>
      <c r="L198" s="25" t="str">
        <f>IF(K198="","",K198+I198)</f>
        <v/>
      </c>
      <c r="M198" s="25" t="str">
        <f>IF(L198="","",L198*G198+H198)</f>
        <v/>
      </c>
      <c r="N198" s="25" t="str">
        <f>IF(K198="","",K198*G198-E198)</f>
        <v/>
      </c>
      <c r="O198" s="17"/>
      <c r="P198" s="20"/>
      <c r="Q198" s="27" t="str">
        <f>IF(A198="","",IF(COUNTIF($A$4:$A$203,A198)&gt;1,"ID duplicado",IF(COUNTIF(Clientes!$A$4:$A$203,B198)=0,"Cliente não encontrado",IF(OR(E198&lt;=0,G198&lt;=0,F198&lt;0),"Revisar condições","OK"))))</f>
        <v/>
      </c>
    </row>
    <row r="199" spans="1:17" x14ac:dyDescent="0.3">
      <c r="A199" s="17"/>
      <c r="B199" s="17"/>
      <c r="C199" s="21" t="str">
        <f>IF(B199="","",IFERROR(INDEX(Clientes!$B$4:$B$203,MATCH(B199,Clientes!$A$4:$A$203,0)),"Cliente não encontrado"))</f>
        <v/>
      </c>
      <c r="D199" s="18"/>
      <c r="E199" s="22"/>
      <c r="F199" s="23"/>
      <c r="G199" s="26"/>
      <c r="H199" s="22"/>
      <c r="I199" s="22"/>
      <c r="J199" s="24" t="str">
        <f>IF(OR(E199="",F199="",G199=""),"",(1+F199)^(1/12)-1)</f>
        <v/>
      </c>
      <c r="K199" s="25" t="str">
        <f>IF(OR(E199&lt;=0,G199&lt;=0),"",-PMT(J199,G199,E199))</f>
        <v/>
      </c>
      <c r="L199" s="25" t="str">
        <f>IF(K199="","",K199+I199)</f>
        <v/>
      </c>
      <c r="M199" s="25" t="str">
        <f>IF(L199="","",L199*G199+H199)</f>
        <v/>
      </c>
      <c r="N199" s="25" t="str">
        <f>IF(K199="","",K199*G199-E199)</f>
        <v/>
      </c>
      <c r="O199" s="17"/>
      <c r="P199" s="20"/>
      <c r="Q199" s="27" t="str">
        <f>IF(A199="","",IF(COUNTIF($A$4:$A$203,A199)&gt;1,"ID duplicado",IF(COUNTIF(Clientes!$A$4:$A$203,B199)=0,"Cliente não encontrado",IF(OR(E199&lt;=0,G199&lt;=0,F199&lt;0),"Revisar condições","OK"))))</f>
        <v/>
      </c>
    </row>
    <row r="200" spans="1:17" x14ac:dyDescent="0.3">
      <c r="A200" s="17"/>
      <c r="B200" s="17"/>
      <c r="C200" s="21" t="str">
        <f>IF(B200="","",IFERROR(INDEX(Clientes!$B$4:$B$203,MATCH(B200,Clientes!$A$4:$A$203,0)),"Cliente não encontrado"))</f>
        <v/>
      </c>
      <c r="D200" s="18"/>
      <c r="E200" s="22"/>
      <c r="F200" s="23"/>
      <c r="G200" s="26"/>
      <c r="H200" s="22"/>
      <c r="I200" s="22"/>
      <c r="J200" s="24" t="str">
        <f>IF(OR(E200="",F200="",G200=""),"",(1+F200)^(1/12)-1)</f>
        <v/>
      </c>
      <c r="K200" s="25" t="str">
        <f>IF(OR(E200&lt;=0,G200&lt;=0),"",-PMT(J200,G200,E200))</f>
        <v/>
      </c>
      <c r="L200" s="25" t="str">
        <f>IF(K200="","",K200+I200)</f>
        <v/>
      </c>
      <c r="M200" s="25" t="str">
        <f>IF(L200="","",L200*G200+H200)</f>
        <v/>
      </c>
      <c r="N200" s="25" t="str">
        <f>IF(K200="","",K200*G200-E200)</f>
        <v/>
      </c>
      <c r="O200" s="17"/>
      <c r="P200" s="20"/>
      <c r="Q200" s="27" t="str">
        <f>IF(A200="","",IF(COUNTIF($A$4:$A$203,A200)&gt;1,"ID duplicado",IF(COUNTIF(Clientes!$A$4:$A$203,B200)=0,"Cliente não encontrado",IF(OR(E200&lt;=0,G200&lt;=0,F200&lt;0),"Revisar condições","OK"))))</f>
        <v/>
      </c>
    </row>
    <row r="201" spans="1:17" x14ac:dyDescent="0.3">
      <c r="A201" s="17"/>
      <c r="B201" s="17"/>
      <c r="C201" s="21" t="str">
        <f>IF(B201="","",IFERROR(INDEX(Clientes!$B$4:$B$203,MATCH(B201,Clientes!$A$4:$A$203,0)),"Cliente não encontrado"))</f>
        <v/>
      </c>
      <c r="D201" s="18"/>
      <c r="E201" s="22"/>
      <c r="F201" s="23"/>
      <c r="G201" s="26"/>
      <c r="H201" s="22"/>
      <c r="I201" s="22"/>
      <c r="J201" s="24" t="str">
        <f>IF(OR(E201="",F201="",G201=""),"",(1+F201)^(1/12)-1)</f>
        <v/>
      </c>
      <c r="K201" s="25" t="str">
        <f>IF(OR(E201&lt;=0,G201&lt;=0),"",-PMT(J201,G201,E201))</f>
        <v/>
      </c>
      <c r="L201" s="25" t="str">
        <f>IF(K201="","",K201+I201)</f>
        <v/>
      </c>
      <c r="M201" s="25" t="str">
        <f>IF(L201="","",L201*G201+H201)</f>
        <v/>
      </c>
      <c r="N201" s="25" t="str">
        <f>IF(K201="","",K201*G201-E201)</f>
        <v/>
      </c>
      <c r="O201" s="17"/>
      <c r="P201" s="20"/>
      <c r="Q201" s="27" t="str">
        <f>IF(A201="","",IF(COUNTIF($A$4:$A$203,A201)&gt;1,"ID duplicado",IF(COUNTIF(Clientes!$A$4:$A$203,B201)=0,"Cliente não encontrado",IF(OR(E201&lt;=0,G201&lt;=0,F201&lt;0),"Revisar condições","OK"))))</f>
        <v/>
      </c>
    </row>
    <row r="202" spans="1:17" x14ac:dyDescent="0.3">
      <c r="A202" s="17"/>
      <c r="B202" s="17"/>
      <c r="C202" s="21" t="str">
        <f>IF(B202="","",IFERROR(INDEX(Clientes!$B$4:$B$203,MATCH(B202,Clientes!$A$4:$A$203,0)),"Cliente não encontrado"))</f>
        <v/>
      </c>
      <c r="D202" s="18"/>
      <c r="E202" s="22"/>
      <c r="F202" s="23"/>
      <c r="G202" s="26"/>
      <c r="H202" s="22"/>
      <c r="I202" s="22"/>
      <c r="J202" s="24" t="str">
        <f>IF(OR(E202="",F202="",G202=""),"",(1+F202)^(1/12)-1)</f>
        <v/>
      </c>
      <c r="K202" s="25" t="str">
        <f>IF(OR(E202&lt;=0,G202&lt;=0),"",-PMT(J202,G202,E202))</f>
        <v/>
      </c>
      <c r="L202" s="25" t="str">
        <f>IF(K202="","",K202+I202)</f>
        <v/>
      </c>
      <c r="M202" s="25" t="str">
        <f>IF(L202="","",L202*G202+H202)</f>
        <v/>
      </c>
      <c r="N202" s="25" t="str">
        <f>IF(K202="","",K202*G202-E202)</f>
        <v/>
      </c>
      <c r="O202" s="17"/>
      <c r="P202" s="20"/>
      <c r="Q202" s="27" t="str">
        <f>IF(A202="","",IF(COUNTIF($A$4:$A$203,A202)&gt;1,"ID duplicado",IF(COUNTIF(Clientes!$A$4:$A$203,B202)=0,"Cliente não encontrado",IF(OR(E202&lt;=0,G202&lt;=0,F202&lt;0),"Revisar condições","OK"))))</f>
        <v/>
      </c>
    </row>
    <row r="203" spans="1:17" x14ac:dyDescent="0.3">
      <c r="A203" s="17"/>
      <c r="B203" s="17"/>
      <c r="C203" s="21" t="str">
        <f>IF(B203="","",IFERROR(INDEX(Clientes!$B$4:$B$203,MATCH(B203,Clientes!$A$4:$A$203,0)),"Cliente não encontrado"))</f>
        <v/>
      </c>
      <c r="D203" s="18"/>
      <c r="E203" s="22"/>
      <c r="F203" s="23"/>
      <c r="G203" s="26"/>
      <c r="H203" s="22"/>
      <c r="I203" s="22"/>
      <c r="J203" s="24" t="str">
        <f>IF(OR(E203="",F203="",G203=""),"",(1+F203)^(1/12)-1)</f>
        <v/>
      </c>
      <c r="K203" s="25" t="str">
        <f>IF(OR(E203&lt;=0,G203&lt;=0),"",-PMT(J203,G203,E203))</f>
        <v/>
      </c>
      <c r="L203" s="25" t="str">
        <f>IF(K203="","",K203+I203)</f>
        <v/>
      </c>
      <c r="M203" s="25" t="str">
        <f>IF(L203="","",L203*G203+H203)</f>
        <v/>
      </c>
      <c r="N203" s="25" t="str">
        <f>IF(K203="","",K203*G203-E203)</f>
        <v/>
      </c>
      <c r="O203" s="17"/>
      <c r="P203" s="20"/>
      <c r="Q203" s="27" t="str">
        <f>IF(A203="","",IF(COUNTIF($A$4:$A$203,A203)&gt;1,"ID duplicado",IF(COUNTIF(Clientes!$A$4:$A$203,B203)=0,"Cliente não encontrado",IF(OR(E203&lt;=0,G203&lt;=0,F203&lt;0),"Revisar condições","OK"))))</f>
        <v/>
      </c>
    </row>
  </sheetData>
  <mergeCells count="2">
    <mergeCell ref="A1:Q1"/>
    <mergeCell ref="A2:Q2"/>
  </mergeCells>
  <conditionalFormatting sqref="Q4:Q203">
    <cfRule type="cellIs" dxfId="20" priority="1" stopIfTrue="1" operator="equal">
      <formula>"OK"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176E-6113-4C06-A46D-09B717BA963A}">
  <sheetPr>
    <tabColor rgb="FF70AD47"/>
  </sheetPr>
  <dimension ref="A1:G32"/>
  <sheetViews>
    <sheetView showGridLines="0" tabSelected="1" workbookViewId="0">
      <pane ySplit="3" topLeftCell="A4" activePane="bottomLeft" state="frozen"/>
      <selection pane="bottomLeft" activeCell="B3" sqref="B3"/>
    </sheetView>
  </sheetViews>
  <sheetFormatPr defaultRowHeight="14.4" x14ac:dyDescent="0.3"/>
  <cols>
    <col min="1" max="1" width="33.77734375" customWidth="1"/>
    <col min="2" max="2" width="21.77734375" customWidth="1"/>
    <col min="3" max="4" width="3.77734375" customWidth="1"/>
    <col min="5" max="5" width="25.77734375" customWidth="1"/>
    <col min="6" max="7" width="18.77734375" customWidth="1"/>
  </cols>
  <sheetData>
    <row r="1" spans="1:7" ht="31.95" customHeight="1" x14ac:dyDescent="0.3">
      <c r="A1" s="7" t="s">
        <v>59</v>
      </c>
      <c r="B1" s="7"/>
      <c r="C1" s="7"/>
      <c r="D1" s="7"/>
      <c r="E1" s="7"/>
      <c r="F1" s="7"/>
      <c r="G1" s="7"/>
    </row>
    <row r="2" spans="1:7" x14ac:dyDescent="0.3">
      <c r="A2" s="8" t="s">
        <v>60</v>
      </c>
      <c r="B2" s="9"/>
      <c r="C2" s="9"/>
      <c r="D2" s="9"/>
      <c r="E2" s="9"/>
      <c r="F2" s="9"/>
      <c r="G2" s="9"/>
    </row>
    <row r="3" spans="1:7" ht="22.05" customHeight="1" x14ac:dyDescent="0.3">
      <c r="A3" s="2" t="s">
        <v>61</v>
      </c>
      <c r="B3" s="29" t="s">
        <v>72</v>
      </c>
      <c r="C3" s="1"/>
      <c r="D3" s="1"/>
      <c r="E3" s="10" t="s">
        <v>67</v>
      </c>
      <c r="F3" s="10"/>
      <c r="G3" s="10"/>
    </row>
    <row r="4" spans="1:7" x14ac:dyDescent="0.3">
      <c r="A4" s="1"/>
      <c r="B4" s="1"/>
      <c r="C4" s="1"/>
      <c r="D4" s="1"/>
      <c r="E4" s="30" t="s">
        <v>68</v>
      </c>
      <c r="F4" s="30"/>
      <c r="G4" s="30"/>
    </row>
    <row r="5" spans="1:7" ht="22.05" customHeight="1" x14ac:dyDescent="0.3">
      <c r="A5" s="10" t="s">
        <v>62</v>
      </c>
      <c r="B5" s="10"/>
      <c r="C5" s="1"/>
      <c r="D5" s="1"/>
      <c r="E5" s="30"/>
      <c r="F5" s="30"/>
      <c r="G5" s="30"/>
    </row>
    <row r="6" spans="1:7" x14ac:dyDescent="0.3">
      <c r="A6" s="31" t="s">
        <v>28</v>
      </c>
      <c r="B6" s="32" t="str">
        <f>IFERROR(INDEX(Empréstimos!$B$4:$B$203,MATCH($B$3,Empréstimos!$A$4:$A$203,0)),"")</f>
        <v>CLI-0002</v>
      </c>
      <c r="C6" s="1"/>
      <c r="D6" s="1"/>
      <c r="E6" s="30"/>
      <c r="F6" s="30"/>
      <c r="G6" s="30"/>
    </row>
    <row r="7" spans="1:7" x14ac:dyDescent="0.3">
      <c r="A7" s="2" t="s">
        <v>48</v>
      </c>
      <c r="B7" s="33" t="str">
        <f>IFERROR(INDEX(Empréstimos!$C$4:$C$203,MATCH($B$3,Empréstimos!$A$4:$A$203,0)),"")</f>
        <v>Teste 1</v>
      </c>
      <c r="C7" s="1"/>
      <c r="D7" s="1"/>
      <c r="E7" s="30"/>
      <c r="F7" s="30"/>
      <c r="G7" s="30"/>
    </row>
    <row r="8" spans="1:7" x14ac:dyDescent="0.3">
      <c r="A8" s="1"/>
      <c r="B8" s="34"/>
      <c r="C8" s="1"/>
      <c r="D8" s="1"/>
      <c r="E8" s="30"/>
      <c r="F8" s="30"/>
      <c r="G8" s="30"/>
    </row>
    <row r="9" spans="1:7" ht="22.05" customHeight="1" x14ac:dyDescent="0.3">
      <c r="A9" s="10" t="s">
        <v>63</v>
      </c>
      <c r="B9" s="28"/>
      <c r="C9" s="1"/>
      <c r="D9" s="1"/>
      <c r="E9" s="1"/>
      <c r="F9" s="1"/>
      <c r="G9" s="1"/>
    </row>
    <row r="10" spans="1:7" ht="22.05" customHeight="1" x14ac:dyDescent="0.3">
      <c r="A10" s="31" t="s">
        <v>1</v>
      </c>
      <c r="B10" s="35">
        <f>IFERROR(INDEX(Empréstimos!$D$4:$D$203,MATCH($B$3,Empréstimos!$A$4:$A$203,0)),"")</f>
        <v>46236.166666666664</v>
      </c>
      <c r="C10" s="1"/>
      <c r="D10" s="1"/>
      <c r="E10" s="10" t="s">
        <v>13</v>
      </c>
      <c r="F10" s="10"/>
      <c r="G10" s="10"/>
    </row>
    <row r="11" spans="1:7" x14ac:dyDescent="0.3">
      <c r="A11" s="31" t="s">
        <v>50</v>
      </c>
      <c r="B11" s="36">
        <f>IFERROR(INDEX(Empréstimos!$E$4:$E$203,MATCH($B$3,Empréstimos!$A$4:$A$203,0)),"")</f>
        <v>1000</v>
      </c>
      <c r="C11" s="1"/>
      <c r="D11" s="1"/>
      <c r="E11" s="31" t="s">
        <v>14</v>
      </c>
      <c r="F11" s="37" t="s">
        <v>17</v>
      </c>
      <c r="G11" s="1"/>
    </row>
    <row r="12" spans="1:7" x14ac:dyDescent="0.3">
      <c r="A12" s="31" t="s">
        <v>51</v>
      </c>
      <c r="B12" s="38">
        <f>IFERROR(INDEX(Empréstimos!$F$4:$F$203,MATCH($B$3,Empréstimos!$A$4:$A$203,0)),"")</f>
        <v>7.916100448255996</v>
      </c>
      <c r="C12" s="1"/>
      <c r="D12" s="1"/>
      <c r="E12" s="31" t="s">
        <v>15</v>
      </c>
      <c r="F12" s="39" t="s">
        <v>18</v>
      </c>
      <c r="G12" s="1"/>
    </row>
    <row r="13" spans="1:7" x14ac:dyDescent="0.3">
      <c r="A13" s="31" t="s">
        <v>0</v>
      </c>
      <c r="B13" s="40">
        <f>IFERROR(INDEX(Empréstimos!$G$4:$G$203,MATCH($B$3,Empréstimos!$A$4:$A$203,0)),"")</f>
        <v>10</v>
      </c>
      <c r="C13" s="1"/>
      <c r="D13" s="1"/>
      <c r="E13" s="2" t="s">
        <v>16</v>
      </c>
      <c r="F13" s="3" t="s">
        <v>19</v>
      </c>
      <c r="G13" s="1"/>
    </row>
    <row r="14" spans="1:7" x14ac:dyDescent="0.3">
      <c r="A14" s="31" t="s">
        <v>2</v>
      </c>
      <c r="B14" s="36">
        <f>IFERROR(INDEX(Empréstimos!$H$4:$H$203,MATCH($B$3,Empréstimos!$A$4:$A$203,0)),"")</f>
        <v>0</v>
      </c>
      <c r="C14" s="1"/>
      <c r="D14" s="1"/>
      <c r="E14" s="1"/>
      <c r="F14" s="1"/>
      <c r="G14" s="1"/>
    </row>
    <row r="15" spans="1:7" x14ac:dyDescent="0.3">
      <c r="A15" s="2" t="s">
        <v>3</v>
      </c>
      <c r="B15" s="41">
        <f>IFERROR(INDEX(Empréstimos!$I$4:$I$203,MATCH($B$3,Empréstimos!$A$4:$A$203,0)),"")</f>
        <v>0</v>
      </c>
      <c r="C15" s="1"/>
      <c r="D15" s="1"/>
      <c r="E15" s="1"/>
      <c r="F15" s="1"/>
      <c r="G15" s="1"/>
    </row>
    <row r="16" spans="1:7" x14ac:dyDescent="0.3">
      <c r="A16" s="1"/>
      <c r="B16" s="34"/>
      <c r="C16" s="1"/>
      <c r="D16" s="1"/>
      <c r="E16" s="1"/>
      <c r="F16" s="1"/>
      <c r="G16" s="1"/>
    </row>
    <row r="17" spans="1:7" ht="22.05" customHeight="1" x14ac:dyDescent="0.3">
      <c r="A17" s="10" t="s">
        <v>4</v>
      </c>
      <c r="B17" s="28"/>
      <c r="C17" s="1"/>
      <c r="D17" s="1"/>
      <c r="E17" s="1"/>
      <c r="F17" s="1"/>
      <c r="G17" s="1"/>
    </row>
    <row r="18" spans="1:7" x14ac:dyDescent="0.3">
      <c r="A18" s="31" t="s">
        <v>64</v>
      </c>
      <c r="B18" s="38">
        <f>IFERROR(INDEX(Empréstimos!$J$4:$J$203,MATCH($B$3,Empréstimos!$A$4:$A$203,0)),"")</f>
        <v>0.19999999999999996</v>
      </c>
      <c r="C18" s="1"/>
      <c r="D18" s="1"/>
      <c r="E18" s="1"/>
      <c r="F18" s="1"/>
      <c r="G18" s="1"/>
    </row>
    <row r="19" spans="1:7" x14ac:dyDescent="0.3">
      <c r="A19" s="31" t="s">
        <v>5</v>
      </c>
      <c r="B19" s="36">
        <f>IFERROR(INDEX(Empréstimos!$K$4:$K$203,MATCH($B$3,Empréstimos!$A$4:$A$203,0)),"")</f>
        <v>238.52275688285911</v>
      </c>
      <c r="C19" s="1"/>
      <c r="D19" s="1"/>
      <c r="E19" s="1"/>
      <c r="F19" s="1"/>
      <c r="G19" s="1"/>
    </row>
    <row r="20" spans="1:7" x14ac:dyDescent="0.3">
      <c r="A20" s="31" t="s">
        <v>6</v>
      </c>
      <c r="B20" s="36">
        <f>IFERROR(INDEX(Empréstimos!$L$4:$L$203,MATCH($B$3,Empréstimos!$A$4:$A$203,0)),"")</f>
        <v>238.52275688285911</v>
      </c>
      <c r="C20" s="1"/>
      <c r="D20" s="1"/>
      <c r="E20" s="1"/>
      <c r="F20" s="1"/>
      <c r="G20" s="1"/>
    </row>
    <row r="21" spans="1:7" x14ac:dyDescent="0.3">
      <c r="A21" s="31" t="s">
        <v>54</v>
      </c>
      <c r="B21" s="36">
        <f>IFERROR(INDEX(Empréstimos!$M$4:$M$203,MATCH($B$3,Empréstimos!$A$4:$A$203,0)),"")</f>
        <v>2385.2275688285913</v>
      </c>
      <c r="C21" s="1"/>
      <c r="D21" s="1"/>
      <c r="E21" s="1"/>
      <c r="F21" s="1"/>
      <c r="G21" s="1"/>
    </row>
    <row r="22" spans="1:7" x14ac:dyDescent="0.3">
      <c r="A22" s="31" t="s">
        <v>55</v>
      </c>
      <c r="B22" s="36">
        <f>IFERROR(INDEX(Empréstimos!$N$4:$N$203,MATCH($B$3,Empréstimos!$A$4:$A$203,0)),"")</f>
        <v>1385.2275688285913</v>
      </c>
      <c r="C22" s="1"/>
      <c r="D22" s="1"/>
      <c r="E22" s="1"/>
      <c r="F22" s="1"/>
      <c r="G22" s="1"/>
    </row>
    <row r="23" spans="1:7" x14ac:dyDescent="0.3">
      <c r="A23" s="2" t="s">
        <v>7</v>
      </c>
      <c r="B23" s="42">
        <f>IFERROR((1+RATE(B13,-B20,B11-B14))^12-1,0)</f>
        <v>7.9161004482549266</v>
      </c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ht="22.05" customHeight="1" x14ac:dyDescent="0.3">
      <c r="A26" s="10" t="s">
        <v>8</v>
      </c>
      <c r="B26" s="10"/>
      <c r="C26" s="1"/>
      <c r="D26" s="1"/>
      <c r="E26" s="1"/>
      <c r="F26" s="1"/>
      <c r="G26" s="1"/>
    </row>
    <row r="27" spans="1:7" x14ac:dyDescent="0.3">
      <c r="A27" s="31" t="s">
        <v>65</v>
      </c>
      <c r="B27" s="43" t="str">
        <f>IF(B3="","Selecione",IF(COUNTIF(Empréstimos!$A$4:$A$203,B3)=1,"OK","REVISAR"))</f>
        <v>OK</v>
      </c>
      <c r="C27" s="1"/>
      <c r="D27" s="1"/>
      <c r="E27" s="1"/>
      <c r="F27" s="1"/>
      <c r="G27" s="1"/>
    </row>
    <row r="28" spans="1:7" x14ac:dyDescent="0.3">
      <c r="A28" s="31" t="s">
        <v>66</v>
      </c>
      <c r="B28" s="43" t="str">
        <f>IF(B6="","REVISAR",IF(COUNTIF(Clientes!$A$4:$A$203,B6)=1,"OK","REVISAR"))</f>
        <v>OK</v>
      </c>
      <c r="C28" s="1"/>
      <c r="D28" s="1"/>
      <c r="E28" s="1"/>
      <c r="F28" s="1"/>
      <c r="G28" s="1"/>
    </row>
    <row r="29" spans="1:7" x14ac:dyDescent="0.3">
      <c r="A29" s="31" t="s">
        <v>9</v>
      </c>
      <c r="B29" s="44">
        <f>IF(B13="","",INDEX(Amortização!F3:F362,B13))</f>
        <v>0</v>
      </c>
      <c r="C29" s="1"/>
      <c r="D29" s="1"/>
      <c r="E29" s="1"/>
      <c r="F29" s="1"/>
      <c r="G29" s="1"/>
    </row>
    <row r="30" spans="1:7" x14ac:dyDescent="0.3">
      <c r="A30" s="31" t="s">
        <v>10</v>
      </c>
      <c r="B30" s="44">
        <f>SUM(Amortização!E3:E362)</f>
        <v>1000</v>
      </c>
      <c r="C30" s="1"/>
      <c r="D30" s="1"/>
      <c r="E30" s="1"/>
      <c r="F30" s="1"/>
      <c r="G30" s="1"/>
    </row>
    <row r="31" spans="1:7" x14ac:dyDescent="0.3">
      <c r="A31" s="31" t="s">
        <v>11</v>
      </c>
      <c r="B31" s="45">
        <f>B30-B11</f>
        <v>0</v>
      </c>
      <c r="C31" s="1"/>
      <c r="D31" s="1"/>
      <c r="E31" s="1"/>
      <c r="F31" s="1"/>
      <c r="G31" s="1"/>
    </row>
    <row r="32" spans="1:7" x14ac:dyDescent="0.3">
      <c r="A32" s="2" t="s">
        <v>12</v>
      </c>
      <c r="B32" s="46" t="str">
        <f>IF(AND(B27="OK",B28="OK",ABS(B29)&lt;0.01,ABS(B31)&lt;0.01),"OK","REVISAR")</f>
        <v>OK</v>
      </c>
      <c r="C32" s="1"/>
      <c r="D32" s="1"/>
      <c r="E32" s="1"/>
      <c r="F32" s="1"/>
      <c r="G32" s="1"/>
    </row>
  </sheetData>
  <mergeCells count="9">
    <mergeCell ref="A1:G1"/>
    <mergeCell ref="A2:G2"/>
    <mergeCell ref="A5:B5"/>
    <mergeCell ref="A9:B9"/>
    <mergeCell ref="A17:B17"/>
    <mergeCell ref="A26:B26"/>
    <mergeCell ref="E3:G3"/>
    <mergeCell ref="E4:G8"/>
    <mergeCell ref="E10:G10"/>
  </mergeCells>
  <conditionalFormatting sqref="B27:B28">
    <cfRule type="cellIs" dxfId="1" priority="1" stopIfTrue="1" operator="equal">
      <formula>"OK"</formula>
    </cfRule>
  </conditionalFormatting>
  <conditionalFormatting sqref="B32">
    <cfRule type="cellIs" dxfId="0" priority="2" stopIfTrue="1" operator="equal">
      <formula>"OK"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F44E-C8B7-47CD-A8C7-A046A87E27AE}">
  <sheetPr>
    <tabColor rgb="FFA5A5A5"/>
  </sheetPr>
  <dimension ref="A1:G362"/>
  <sheetViews>
    <sheetView showGridLines="0" workbookViewId="0">
      <pane ySplit="2" topLeftCell="A3" activePane="bottomLeft" state="frozen"/>
      <selection pane="bottomLeft" sqref="A1:G12"/>
    </sheetView>
  </sheetViews>
  <sheetFormatPr defaultRowHeight="14.4" x14ac:dyDescent="0.3"/>
  <cols>
    <col min="1" max="1" width="10.77734375" customWidth="1"/>
    <col min="2" max="2" width="15.77734375" customWidth="1"/>
    <col min="3" max="7" width="18.77734375" customWidth="1"/>
  </cols>
  <sheetData>
    <row r="1" spans="1:7" ht="31.95" customHeight="1" x14ac:dyDescent="0.3">
      <c r="A1" s="7" t="s">
        <v>69</v>
      </c>
      <c r="B1" s="7"/>
      <c r="C1" s="7"/>
      <c r="D1" s="7"/>
      <c r="E1" s="7"/>
      <c r="F1" s="7"/>
      <c r="G1" s="7"/>
    </row>
    <row r="2" spans="1:7" ht="31.95" customHeight="1" x14ac:dyDescent="0.3">
      <c r="A2" s="47" t="s">
        <v>20</v>
      </c>
      <c r="B2" s="47" t="s">
        <v>21</v>
      </c>
      <c r="C2" s="47" t="s">
        <v>22</v>
      </c>
      <c r="D2" s="47" t="s">
        <v>23</v>
      </c>
      <c r="E2" s="47" t="s">
        <v>24</v>
      </c>
      <c r="F2" s="47" t="s">
        <v>9</v>
      </c>
      <c r="G2" s="47" t="s">
        <v>25</v>
      </c>
    </row>
    <row r="3" spans="1:7" x14ac:dyDescent="0.3">
      <c r="A3" s="48">
        <f>IF(ROW()-2&lt;=Simulador!$B$13,ROW()-2,"")</f>
        <v>1</v>
      </c>
      <c r="B3" s="49">
        <f>IF($A3="","",EDATE(Simulador!$B$10,$A3))</f>
        <v>46267</v>
      </c>
      <c r="C3" s="50">
        <f>IF($A3="","",IF($A3=1,Simulador!$B$11,$F2))</f>
        <v>1000</v>
      </c>
      <c r="D3" s="50">
        <f>IF($A3="","",$C3*Simulador!$B$18)</f>
        <v>199.99999999999994</v>
      </c>
      <c r="E3" s="50">
        <f>IF($A3="","",MIN(Simulador!$B$19-$D3,$C3))</f>
        <v>38.52275688285917</v>
      </c>
      <c r="F3" s="50">
        <f>IF($A3="","",MAX(0,$C3-$E3))</f>
        <v>961.4772431171408</v>
      </c>
      <c r="G3" s="50">
        <f>IF($A3="","",$D3+$E3+Simulador!$B$15)</f>
        <v>238.52275688285911</v>
      </c>
    </row>
    <row r="4" spans="1:7" x14ac:dyDescent="0.3">
      <c r="A4" s="48">
        <f>IF(ROW()-2&lt;=Simulador!$B$13,ROW()-2,"")</f>
        <v>2</v>
      </c>
      <c r="B4" s="49">
        <f>IF($A4="","",EDATE(Simulador!$B$10,$A4))</f>
        <v>46297</v>
      </c>
      <c r="C4" s="50">
        <f>IF($A4="","",IF($A4=1,Simulador!$B$11,$F3))</f>
        <v>961.4772431171408</v>
      </c>
      <c r="D4" s="50">
        <f>IF($A4="","",$C4*Simulador!$B$18)</f>
        <v>192.29544862342811</v>
      </c>
      <c r="E4" s="50">
        <f>IF($A4="","",MIN(Simulador!$B$19-$D4,$C4))</f>
        <v>46.227308259430998</v>
      </c>
      <c r="F4" s="50">
        <f>IF($A4="","",MAX(0,$C4-$E4))</f>
        <v>915.24993485770983</v>
      </c>
      <c r="G4" s="50">
        <f>IF($A4="","",$D4+$E4+Simulador!$B$15)</f>
        <v>238.52275688285911</v>
      </c>
    </row>
    <row r="5" spans="1:7" x14ac:dyDescent="0.3">
      <c r="A5" s="48">
        <f>IF(ROW()-2&lt;=Simulador!$B$13,ROW()-2,"")</f>
        <v>3</v>
      </c>
      <c r="B5" s="49">
        <f>IF($A5="","",EDATE(Simulador!$B$10,$A5))</f>
        <v>46328</v>
      </c>
      <c r="C5" s="50">
        <f>IF($A5="","",IF($A5=1,Simulador!$B$11,$F4))</f>
        <v>915.24993485770983</v>
      </c>
      <c r="D5" s="50">
        <f>IF($A5="","",$C5*Simulador!$B$18)</f>
        <v>183.04998697154193</v>
      </c>
      <c r="E5" s="50">
        <f>IF($A5="","",MIN(Simulador!$B$19-$D5,$C5))</f>
        <v>55.472769911317187</v>
      </c>
      <c r="F5" s="50">
        <f>IF($A5="","",MAX(0,$C5-$E5))</f>
        <v>859.77716494639265</v>
      </c>
      <c r="G5" s="50">
        <f>IF($A5="","",$D5+$E5+Simulador!$B$15)</f>
        <v>238.52275688285911</v>
      </c>
    </row>
    <row r="6" spans="1:7" x14ac:dyDescent="0.3">
      <c r="A6" s="48">
        <f>IF(ROW()-2&lt;=Simulador!$B$13,ROW()-2,"")</f>
        <v>4</v>
      </c>
      <c r="B6" s="49">
        <f>IF($A6="","",EDATE(Simulador!$B$10,$A6))</f>
        <v>46358</v>
      </c>
      <c r="C6" s="50">
        <f>IF($A6="","",IF($A6=1,Simulador!$B$11,$F5))</f>
        <v>859.77716494639265</v>
      </c>
      <c r="D6" s="50">
        <f>IF($A6="","",$C6*Simulador!$B$18)</f>
        <v>171.95543298927848</v>
      </c>
      <c r="E6" s="50">
        <f>IF($A6="","",MIN(Simulador!$B$19-$D6,$C6))</f>
        <v>66.567323893580635</v>
      </c>
      <c r="F6" s="50">
        <f>IF($A6="","",MAX(0,$C6-$E6))</f>
        <v>793.20984105281195</v>
      </c>
      <c r="G6" s="50">
        <f>IF($A6="","",$D6+$E6+Simulador!$B$15)</f>
        <v>238.52275688285911</v>
      </c>
    </row>
    <row r="7" spans="1:7" x14ac:dyDescent="0.3">
      <c r="A7" s="48">
        <f>IF(ROW()-2&lt;=Simulador!$B$13,ROW()-2,"")</f>
        <v>5</v>
      </c>
      <c r="B7" s="49">
        <f>IF($A7="","",EDATE(Simulador!$B$10,$A7))</f>
        <v>46389</v>
      </c>
      <c r="C7" s="50">
        <f>IF($A7="","",IF($A7=1,Simulador!$B$11,$F6))</f>
        <v>793.20984105281195</v>
      </c>
      <c r="D7" s="50">
        <f>IF($A7="","",$C7*Simulador!$B$18)</f>
        <v>158.64196821056237</v>
      </c>
      <c r="E7" s="50">
        <f>IF($A7="","",MIN(Simulador!$B$19-$D7,$C7))</f>
        <v>79.880788672296745</v>
      </c>
      <c r="F7" s="50">
        <f>IF($A7="","",MAX(0,$C7-$E7))</f>
        <v>713.32905238051524</v>
      </c>
      <c r="G7" s="50">
        <f>IF($A7="","",$D7+$E7+Simulador!$B$15)</f>
        <v>238.52275688285911</v>
      </c>
    </row>
    <row r="8" spans="1:7" x14ac:dyDescent="0.3">
      <c r="A8" s="48">
        <f>IF(ROW()-2&lt;=Simulador!$B$13,ROW()-2,"")</f>
        <v>6</v>
      </c>
      <c r="B8" s="49">
        <f>IF($A8="","",EDATE(Simulador!$B$10,$A8))</f>
        <v>46420</v>
      </c>
      <c r="C8" s="50">
        <f>IF($A8="","",IF($A8=1,Simulador!$B$11,$F7))</f>
        <v>713.32905238051524</v>
      </c>
      <c r="D8" s="50">
        <f>IF($A8="","",$C8*Simulador!$B$18)</f>
        <v>142.66581047610302</v>
      </c>
      <c r="E8" s="50">
        <f>IF($A8="","",MIN(Simulador!$B$19-$D8,$C8))</f>
        <v>95.856946406756094</v>
      </c>
      <c r="F8" s="50">
        <f>IF($A8="","",MAX(0,$C8-$E8))</f>
        <v>617.4721059737592</v>
      </c>
      <c r="G8" s="50">
        <f>IF($A8="","",$D8+$E8+Simulador!$B$15)</f>
        <v>238.52275688285911</v>
      </c>
    </row>
    <row r="9" spans="1:7" x14ac:dyDescent="0.3">
      <c r="A9" s="48">
        <f>IF(ROW()-2&lt;=Simulador!$B$13,ROW()-2,"")</f>
        <v>7</v>
      </c>
      <c r="B9" s="49">
        <f>IF($A9="","",EDATE(Simulador!$B$10,$A9))</f>
        <v>46448</v>
      </c>
      <c r="C9" s="50">
        <f>IF($A9="","",IF($A9=1,Simulador!$B$11,$F8))</f>
        <v>617.4721059737592</v>
      </c>
      <c r="D9" s="50">
        <f>IF($A9="","",$C9*Simulador!$B$18)</f>
        <v>123.49442119475181</v>
      </c>
      <c r="E9" s="50">
        <f>IF($A9="","",MIN(Simulador!$B$19-$D9,$C9))</f>
        <v>115.0283356881073</v>
      </c>
      <c r="F9" s="50">
        <f>IF($A9="","",MAX(0,$C9-$E9))</f>
        <v>502.44377028565191</v>
      </c>
      <c r="G9" s="50">
        <f>IF($A9="","",$D9+$E9+Simulador!$B$15)</f>
        <v>238.52275688285911</v>
      </c>
    </row>
    <row r="10" spans="1:7" x14ac:dyDescent="0.3">
      <c r="A10" s="48">
        <f>IF(ROW()-2&lt;=Simulador!$B$13,ROW()-2,"")</f>
        <v>8</v>
      </c>
      <c r="B10" s="49">
        <f>IF($A10="","",EDATE(Simulador!$B$10,$A10))</f>
        <v>46479</v>
      </c>
      <c r="C10" s="50">
        <f>IF($A10="","",IF($A10=1,Simulador!$B$11,$F9))</f>
        <v>502.44377028565191</v>
      </c>
      <c r="D10" s="50">
        <f>IF($A10="","",$C10*Simulador!$B$18)</f>
        <v>100.48875405713036</v>
      </c>
      <c r="E10" s="50">
        <f>IF($A10="","",MIN(Simulador!$B$19-$D10,$C10))</f>
        <v>138.03400282572875</v>
      </c>
      <c r="F10" s="50">
        <f>IF($A10="","",MAX(0,$C10-$E10))</f>
        <v>364.40976745992316</v>
      </c>
      <c r="G10" s="50">
        <f>IF($A10="","",$D10+$E10+Simulador!$B$15)</f>
        <v>238.52275688285911</v>
      </c>
    </row>
    <row r="11" spans="1:7" x14ac:dyDescent="0.3">
      <c r="A11" s="48">
        <f>IF(ROW()-2&lt;=Simulador!$B$13,ROW()-2,"")</f>
        <v>9</v>
      </c>
      <c r="B11" s="49">
        <f>IF($A11="","",EDATE(Simulador!$B$10,$A11))</f>
        <v>46509</v>
      </c>
      <c r="C11" s="50">
        <f>IF($A11="","",IF($A11=1,Simulador!$B$11,$F10))</f>
        <v>364.40976745992316</v>
      </c>
      <c r="D11" s="50">
        <f>IF($A11="","",$C11*Simulador!$B$18)</f>
        <v>72.881953491984618</v>
      </c>
      <c r="E11" s="50">
        <f>IF($A11="","",MIN(Simulador!$B$19-$D11,$C11))</f>
        <v>165.64080339087451</v>
      </c>
      <c r="F11" s="50">
        <f>IF($A11="","",MAX(0,$C11-$E11))</f>
        <v>198.76896406904865</v>
      </c>
      <c r="G11" s="50">
        <f>IF($A11="","",$D11+$E11+Simulador!$B$15)</f>
        <v>238.52275688285914</v>
      </c>
    </row>
    <row r="12" spans="1:7" x14ac:dyDescent="0.3">
      <c r="A12" s="48">
        <f>IF(ROW()-2&lt;=Simulador!$B$13,ROW()-2,"")</f>
        <v>10</v>
      </c>
      <c r="B12" s="49">
        <f>IF($A12="","",EDATE(Simulador!$B$10,$A12))</f>
        <v>46540</v>
      </c>
      <c r="C12" s="50">
        <f>IF($A12="","",IF($A12=1,Simulador!$B$11,$F11))</f>
        <v>198.76896406904865</v>
      </c>
      <c r="D12" s="50">
        <f>IF($A12="","",$C12*Simulador!$B$18)</f>
        <v>39.753792813809724</v>
      </c>
      <c r="E12" s="50">
        <f>IF($A12="","",MIN(Simulador!$B$19-$D12,$C12))</f>
        <v>198.76896406904865</v>
      </c>
      <c r="F12" s="50">
        <f>IF($A12="","",MAX(0,$C12-$E12))</f>
        <v>0</v>
      </c>
      <c r="G12" s="50">
        <f>IF($A12="","",$D12+$E12+Simulador!$B$15)</f>
        <v>238.52275688285837</v>
      </c>
    </row>
    <row r="13" spans="1:7" x14ac:dyDescent="0.3">
      <c r="A13" s="48" t="str">
        <f>IF(ROW()-2&lt;=Simulador!$B$13,ROW()-2,"")</f>
        <v/>
      </c>
      <c r="B13" s="49" t="str">
        <f>IF($A13="","",EDATE(Simulador!$B$10,$A13))</f>
        <v/>
      </c>
      <c r="C13" s="50" t="str">
        <f>IF($A13="","",IF($A13=1,Simulador!$B$11,$F12))</f>
        <v/>
      </c>
      <c r="D13" s="50" t="str">
        <f>IF($A13="","",$C13*Simulador!$B$18)</f>
        <v/>
      </c>
      <c r="E13" s="50" t="str">
        <f>IF($A13="","",MIN(Simulador!$B$19-$D13,$C13))</f>
        <v/>
      </c>
      <c r="F13" s="50" t="str">
        <f>IF($A13="","",MAX(0,$C13-$E13))</f>
        <v/>
      </c>
      <c r="G13" s="50" t="str">
        <f>IF($A13="","",$D13+$E13+Simulador!$B$15)</f>
        <v/>
      </c>
    </row>
    <row r="14" spans="1:7" x14ac:dyDescent="0.3">
      <c r="A14" s="48" t="str">
        <f>IF(ROW()-2&lt;=Simulador!$B$13,ROW()-2,"")</f>
        <v/>
      </c>
      <c r="B14" s="49" t="str">
        <f>IF($A14="","",EDATE(Simulador!$B$10,$A14))</f>
        <v/>
      </c>
      <c r="C14" s="50" t="str">
        <f>IF($A14="","",IF($A14=1,Simulador!$B$11,$F13))</f>
        <v/>
      </c>
      <c r="D14" s="50" t="str">
        <f>IF($A14="","",$C14*Simulador!$B$18)</f>
        <v/>
      </c>
      <c r="E14" s="50" t="str">
        <f>IF($A14="","",MIN(Simulador!$B$19-$D14,$C14))</f>
        <v/>
      </c>
      <c r="F14" s="50" t="str">
        <f>IF($A14="","",MAX(0,$C14-$E14))</f>
        <v/>
      </c>
      <c r="G14" s="50" t="str">
        <f>IF($A14="","",$D14+$E14+Simulador!$B$15)</f>
        <v/>
      </c>
    </row>
    <row r="15" spans="1:7" x14ac:dyDescent="0.3">
      <c r="A15" s="48" t="str">
        <f>IF(ROW()-2&lt;=Simulador!$B$13,ROW()-2,"")</f>
        <v/>
      </c>
      <c r="B15" s="49" t="str">
        <f>IF($A15="","",EDATE(Simulador!$B$10,$A15))</f>
        <v/>
      </c>
      <c r="C15" s="50" t="str">
        <f>IF($A15="","",IF($A15=1,Simulador!$B$11,$F14))</f>
        <v/>
      </c>
      <c r="D15" s="50" t="str">
        <f>IF($A15="","",$C15*Simulador!$B$18)</f>
        <v/>
      </c>
      <c r="E15" s="50" t="str">
        <f>IF($A15="","",MIN(Simulador!$B$19-$D15,$C15))</f>
        <v/>
      </c>
      <c r="F15" s="50" t="str">
        <f>IF($A15="","",MAX(0,$C15-$E15))</f>
        <v/>
      </c>
      <c r="G15" s="50" t="str">
        <f>IF($A15="","",$D15+$E15+Simulador!$B$15)</f>
        <v/>
      </c>
    </row>
    <row r="16" spans="1:7" x14ac:dyDescent="0.3">
      <c r="A16" s="48" t="str">
        <f>IF(ROW()-2&lt;=Simulador!$B$13,ROW()-2,"")</f>
        <v/>
      </c>
      <c r="B16" s="49" t="str">
        <f>IF($A16="","",EDATE(Simulador!$B$10,$A16))</f>
        <v/>
      </c>
      <c r="C16" s="50" t="str">
        <f>IF($A16="","",IF($A16=1,Simulador!$B$11,$F15))</f>
        <v/>
      </c>
      <c r="D16" s="50" t="str">
        <f>IF($A16="","",$C16*Simulador!$B$18)</f>
        <v/>
      </c>
      <c r="E16" s="50" t="str">
        <f>IF($A16="","",MIN(Simulador!$B$19-$D16,$C16))</f>
        <v/>
      </c>
      <c r="F16" s="50" t="str">
        <f>IF($A16="","",MAX(0,$C16-$E16))</f>
        <v/>
      </c>
      <c r="G16" s="50" t="str">
        <f>IF($A16="","",$D16+$E16+Simulador!$B$15)</f>
        <v/>
      </c>
    </row>
    <row r="17" spans="1:7" x14ac:dyDescent="0.3">
      <c r="A17" s="48" t="str">
        <f>IF(ROW()-2&lt;=Simulador!$B$13,ROW()-2,"")</f>
        <v/>
      </c>
      <c r="B17" s="49" t="str">
        <f>IF($A17="","",EDATE(Simulador!$B$10,$A17))</f>
        <v/>
      </c>
      <c r="C17" s="50" t="str">
        <f>IF($A17="","",IF($A17=1,Simulador!$B$11,$F16))</f>
        <v/>
      </c>
      <c r="D17" s="50" t="str">
        <f>IF($A17="","",$C17*Simulador!$B$18)</f>
        <v/>
      </c>
      <c r="E17" s="50" t="str">
        <f>IF($A17="","",MIN(Simulador!$B$19-$D17,$C17))</f>
        <v/>
      </c>
      <c r="F17" s="50" t="str">
        <f>IF($A17="","",MAX(0,$C17-$E17))</f>
        <v/>
      </c>
      <c r="G17" s="50" t="str">
        <f>IF($A17="","",$D17+$E17+Simulador!$B$15)</f>
        <v/>
      </c>
    </row>
    <row r="18" spans="1:7" x14ac:dyDescent="0.3">
      <c r="A18" s="48" t="str">
        <f>IF(ROW()-2&lt;=Simulador!$B$13,ROW()-2,"")</f>
        <v/>
      </c>
      <c r="B18" s="49" t="str">
        <f>IF($A18="","",EDATE(Simulador!$B$10,$A18))</f>
        <v/>
      </c>
      <c r="C18" s="50" t="str">
        <f>IF($A18="","",IF($A18=1,Simulador!$B$11,$F17))</f>
        <v/>
      </c>
      <c r="D18" s="50" t="str">
        <f>IF($A18="","",$C18*Simulador!$B$18)</f>
        <v/>
      </c>
      <c r="E18" s="50" t="str">
        <f>IF($A18="","",MIN(Simulador!$B$19-$D18,$C18))</f>
        <v/>
      </c>
      <c r="F18" s="50" t="str">
        <f>IF($A18="","",MAX(0,$C18-$E18))</f>
        <v/>
      </c>
      <c r="G18" s="50" t="str">
        <f>IF($A18="","",$D18+$E18+Simulador!$B$15)</f>
        <v/>
      </c>
    </row>
    <row r="19" spans="1:7" x14ac:dyDescent="0.3">
      <c r="A19" s="48" t="str">
        <f>IF(ROW()-2&lt;=Simulador!$B$13,ROW()-2,"")</f>
        <v/>
      </c>
      <c r="B19" s="49" t="str">
        <f>IF($A19="","",EDATE(Simulador!$B$10,$A19))</f>
        <v/>
      </c>
      <c r="C19" s="50" t="str">
        <f>IF($A19="","",IF($A19=1,Simulador!$B$11,$F18))</f>
        <v/>
      </c>
      <c r="D19" s="50" t="str">
        <f>IF($A19="","",$C19*Simulador!$B$18)</f>
        <v/>
      </c>
      <c r="E19" s="50" t="str">
        <f>IF($A19="","",MIN(Simulador!$B$19-$D19,$C19))</f>
        <v/>
      </c>
      <c r="F19" s="50" t="str">
        <f>IF($A19="","",MAX(0,$C19-$E19))</f>
        <v/>
      </c>
      <c r="G19" s="50" t="str">
        <f>IF($A19="","",$D19+$E19+Simulador!$B$15)</f>
        <v/>
      </c>
    </row>
    <row r="20" spans="1:7" x14ac:dyDescent="0.3">
      <c r="A20" s="48" t="str">
        <f>IF(ROW()-2&lt;=Simulador!$B$13,ROW()-2,"")</f>
        <v/>
      </c>
      <c r="B20" s="49" t="str">
        <f>IF($A20="","",EDATE(Simulador!$B$10,$A20))</f>
        <v/>
      </c>
      <c r="C20" s="50" t="str">
        <f>IF($A20="","",IF($A20=1,Simulador!$B$11,$F19))</f>
        <v/>
      </c>
      <c r="D20" s="50" t="str">
        <f>IF($A20="","",$C20*Simulador!$B$18)</f>
        <v/>
      </c>
      <c r="E20" s="50" t="str">
        <f>IF($A20="","",MIN(Simulador!$B$19-$D20,$C20))</f>
        <v/>
      </c>
      <c r="F20" s="50" t="str">
        <f>IF($A20="","",MAX(0,$C20-$E20))</f>
        <v/>
      </c>
      <c r="G20" s="50" t="str">
        <f>IF($A20="","",$D20+$E20+Simulador!$B$15)</f>
        <v/>
      </c>
    </row>
    <row r="21" spans="1:7" x14ac:dyDescent="0.3">
      <c r="A21" s="48" t="str">
        <f>IF(ROW()-2&lt;=Simulador!$B$13,ROW()-2,"")</f>
        <v/>
      </c>
      <c r="B21" s="49" t="str">
        <f>IF($A21="","",EDATE(Simulador!$B$10,$A21))</f>
        <v/>
      </c>
      <c r="C21" s="50" t="str">
        <f>IF($A21="","",IF($A21=1,Simulador!$B$11,$F20))</f>
        <v/>
      </c>
      <c r="D21" s="50" t="str">
        <f>IF($A21="","",$C21*Simulador!$B$18)</f>
        <v/>
      </c>
      <c r="E21" s="50" t="str">
        <f>IF($A21="","",MIN(Simulador!$B$19-$D21,$C21))</f>
        <v/>
      </c>
      <c r="F21" s="50" t="str">
        <f>IF($A21="","",MAX(0,$C21-$E21))</f>
        <v/>
      </c>
      <c r="G21" s="50" t="str">
        <f>IF($A21="","",$D21+$E21+Simulador!$B$15)</f>
        <v/>
      </c>
    </row>
    <row r="22" spans="1:7" x14ac:dyDescent="0.3">
      <c r="A22" s="48" t="str">
        <f>IF(ROW()-2&lt;=Simulador!$B$13,ROW()-2,"")</f>
        <v/>
      </c>
      <c r="B22" s="49" t="str">
        <f>IF($A22="","",EDATE(Simulador!$B$10,$A22))</f>
        <v/>
      </c>
      <c r="C22" s="50" t="str">
        <f>IF($A22="","",IF($A22=1,Simulador!$B$11,$F21))</f>
        <v/>
      </c>
      <c r="D22" s="50" t="str">
        <f>IF($A22="","",$C22*Simulador!$B$18)</f>
        <v/>
      </c>
      <c r="E22" s="50" t="str">
        <f>IF($A22="","",MIN(Simulador!$B$19-$D22,$C22))</f>
        <v/>
      </c>
      <c r="F22" s="50" t="str">
        <f>IF($A22="","",MAX(0,$C22-$E22))</f>
        <v/>
      </c>
      <c r="G22" s="50" t="str">
        <f>IF($A22="","",$D22+$E22+Simulador!$B$15)</f>
        <v/>
      </c>
    </row>
    <row r="23" spans="1:7" x14ac:dyDescent="0.3">
      <c r="A23" s="48" t="str">
        <f>IF(ROW()-2&lt;=Simulador!$B$13,ROW()-2,"")</f>
        <v/>
      </c>
      <c r="B23" s="49" t="str">
        <f>IF($A23="","",EDATE(Simulador!$B$10,$A23))</f>
        <v/>
      </c>
      <c r="C23" s="50" t="str">
        <f>IF($A23="","",IF($A23=1,Simulador!$B$11,$F22))</f>
        <v/>
      </c>
      <c r="D23" s="50" t="str">
        <f>IF($A23="","",$C23*Simulador!$B$18)</f>
        <v/>
      </c>
      <c r="E23" s="50" t="str">
        <f>IF($A23="","",MIN(Simulador!$B$19-$D23,$C23))</f>
        <v/>
      </c>
      <c r="F23" s="50" t="str">
        <f>IF($A23="","",MAX(0,$C23-$E23))</f>
        <v/>
      </c>
      <c r="G23" s="50" t="str">
        <f>IF($A23="","",$D23+$E23+Simulador!$B$15)</f>
        <v/>
      </c>
    </row>
    <row r="24" spans="1:7" x14ac:dyDescent="0.3">
      <c r="A24" s="48" t="str">
        <f>IF(ROW()-2&lt;=Simulador!$B$13,ROW()-2,"")</f>
        <v/>
      </c>
      <c r="B24" s="49" t="str">
        <f>IF($A24="","",EDATE(Simulador!$B$10,$A24))</f>
        <v/>
      </c>
      <c r="C24" s="50" t="str">
        <f>IF($A24="","",IF($A24=1,Simulador!$B$11,$F23))</f>
        <v/>
      </c>
      <c r="D24" s="50" t="str">
        <f>IF($A24="","",$C24*Simulador!$B$18)</f>
        <v/>
      </c>
      <c r="E24" s="50" t="str">
        <f>IF($A24="","",MIN(Simulador!$B$19-$D24,$C24))</f>
        <v/>
      </c>
      <c r="F24" s="50" t="str">
        <f>IF($A24="","",MAX(0,$C24-$E24))</f>
        <v/>
      </c>
      <c r="G24" s="50" t="str">
        <f>IF($A24="","",$D24+$E24+Simulador!$B$15)</f>
        <v/>
      </c>
    </row>
    <row r="25" spans="1:7" x14ac:dyDescent="0.3">
      <c r="A25" s="48" t="str">
        <f>IF(ROW()-2&lt;=Simulador!$B$13,ROW()-2,"")</f>
        <v/>
      </c>
      <c r="B25" s="49" t="str">
        <f>IF($A25="","",EDATE(Simulador!$B$10,$A25))</f>
        <v/>
      </c>
      <c r="C25" s="50" t="str">
        <f>IF($A25="","",IF($A25=1,Simulador!$B$11,$F24))</f>
        <v/>
      </c>
      <c r="D25" s="50" t="str">
        <f>IF($A25="","",$C25*Simulador!$B$18)</f>
        <v/>
      </c>
      <c r="E25" s="50" t="str">
        <f>IF($A25="","",MIN(Simulador!$B$19-$D25,$C25))</f>
        <v/>
      </c>
      <c r="F25" s="50" t="str">
        <f>IF($A25="","",MAX(0,$C25-$E25))</f>
        <v/>
      </c>
      <c r="G25" s="50" t="str">
        <f>IF($A25="","",$D25+$E25+Simulador!$B$15)</f>
        <v/>
      </c>
    </row>
    <row r="26" spans="1:7" x14ac:dyDescent="0.3">
      <c r="A26" s="48" t="str">
        <f>IF(ROW()-2&lt;=Simulador!$B$13,ROW()-2,"")</f>
        <v/>
      </c>
      <c r="B26" s="49" t="str">
        <f>IF($A26="","",EDATE(Simulador!$B$10,$A26))</f>
        <v/>
      </c>
      <c r="C26" s="50" t="str">
        <f>IF($A26="","",IF($A26=1,Simulador!$B$11,$F25))</f>
        <v/>
      </c>
      <c r="D26" s="50" t="str">
        <f>IF($A26="","",$C26*Simulador!$B$18)</f>
        <v/>
      </c>
      <c r="E26" s="50" t="str">
        <f>IF($A26="","",MIN(Simulador!$B$19-$D26,$C26))</f>
        <v/>
      </c>
      <c r="F26" s="50" t="str">
        <f>IF($A26="","",MAX(0,$C26-$E26))</f>
        <v/>
      </c>
      <c r="G26" s="50" t="str">
        <f>IF($A26="","",$D26+$E26+Simulador!$B$15)</f>
        <v/>
      </c>
    </row>
    <row r="27" spans="1:7" x14ac:dyDescent="0.3">
      <c r="A27" s="48" t="str">
        <f>IF(ROW()-2&lt;=Simulador!$B$13,ROW()-2,"")</f>
        <v/>
      </c>
      <c r="B27" s="49" t="str">
        <f>IF($A27="","",EDATE(Simulador!$B$10,$A27))</f>
        <v/>
      </c>
      <c r="C27" s="50" t="str">
        <f>IF($A27="","",IF($A27=1,Simulador!$B$11,$F26))</f>
        <v/>
      </c>
      <c r="D27" s="50" t="str">
        <f>IF($A27="","",$C27*Simulador!$B$18)</f>
        <v/>
      </c>
      <c r="E27" s="50" t="str">
        <f>IF($A27="","",MIN(Simulador!$B$19-$D27,$C27))</f>
        <v/>
      </c>
      <c r="F27" s="50" t="str">
        <f>IF($A27="","",MAX(0,$C27-$E27))</f>
        <v/>
      </c>
      <c r="G27" s="50" t="str">
        <f>IF($A27="","",$D27+$E27+Simulador!$B$15)</f>
        <v/>
      </c>
    </row>
    <row r="28" spans="1:7" x14ac:dyDescent="0.3">
      <c r="A28" s="48" t="str">
        <f>IF(ROW()-2&lt;=Simulador!$B$13,ROW()-2,"")</f>
        <v/>
      </c>
      <c r="B28" s="49" t="str">
        <f>IF($A28="","",EDATE(Simulador!$B$10,$A28))</f>
        <v/>
      </c>
      <c r="C28" s="50" t="str">
        <f>IF($A28="","",IF($A28=1,Simulador!$B$11,$F27))</f>
        <v/>
      </c>
      <c r="D28" s="50" t="str">
        <f>IF($A28="","",$C28*Simulador!$B$18)</f>
        <v/>
      </c>
      <c r="E28" s="50" t="str">
        <f>IF($A28="","",MIN(Simulador!$B$19-$D28,$C28))</f>
        <v/>
      </c>
      <c r="F28" s="50" t="str">
        <f>IF($A28="","",MAX(0,$C28-$E28))</f>
        <v/>
      </c>
      <c r="G28" s="50" t="str">
        <f>IF($A28="","",$D28+$E28+Simulador!$B$15)</f>
        <v/>
      </c>
    </row>
    <row r="29" spans="1:7" x14ac:dyDescent="0.3">
      <c r="A29" s="48" t="str">
        <f>IF(ROW()-2&lt;=Simulador!$B$13,ROW()-2,"")</f>
        <v/>
      </c>
      <c r="B29" s="49" t="str">
        <f>IF($A29="","",EDATE(Simulador!$B$10,$A29))</f>
        <v/>
      </c>
      <c r="C29" s="50" t="str">
        <f>IF($A29="","",IF($A29=1,Simulador!$B$11,$F28))</f>
        <v/>
      </c>
      <c r="D29" s="50" t="str">
        <f>IF($A29="","",$C29*Simulador!$B$18)</f>
        <v/>
      </c>
      <c r="E29" s="50" t="str">
        <f>IF($A29="","",MIN(Simulador!$B$19-$D29,$C29))</f>
        <v/>
      </c>
      <c r="F29" s="50" t="str">
        <f>IF($A29="","",MAX(0,$C29-$E29))</f>
        <v/>
      </c>
      <c r="G29" s="50" t="str">
        <f>IF($A29="","",$D29+$E29+Simulador!$B$15)</f>
        <v/>
      </c>
    </row>
    <row r="30" spans="1:7" x14ac:dyDescent="0.3">
      <c r="A30" s="48" t="str">
        <f>IF(ROW()-2&lt;=Simulador!$B$13,ROW()-2,"")</f>
        <v/>
      </c>
      <c r="B30" s="49" t="str">
        <f>IF($A30="","",EDATE(Simulador!$B$10,$A30))</f>
        <v/>
      </c>
      <c r="C30" s="50" t="str">
        <f>IF($A30="","",IF($A30=1,Simulador!$B$11,$F29))</f>
        <v/>
      </c>
      <c r="D30" s="50" t="str">
        <f>IF($A30="","",$C30*Simulador!$B$18)</f>
        <v/>
      </c>
      <c r="E30" s="50" t="str">
        <f>IF($A30="","",MIN(Simulador!$B$19-$D30,$C30))</f>
        <v/>
      </c>
      <c r="F30" s="50" t="str">
        <f>IF($A30="","",MAX(0,$C30-$E30))</f>
        <v/>
      </c>
      <c r="G30" s="50" t="str">
        <f>IF($A30="","",$D30+$E30+Simulador!$B$15)</f>
        <v/>
      </c>
    </row>
    <row r="31" spans="1:7" x14ac:dyDescent="0.3">
      <c r="A31" s="48" t="str">
        <f>IF(ROW()-2&lt;=Simulador!$B$13,ROW()-2,"")</f>
        <v/>
      </c>
      <c r="B31" s="49" t="str">
        <f>IF($A31="","",EDATE(Simulador!$B$10,$A31))</f>
        <v/>
      </c>
      <c r="C31" s="50" t="str">
        <f>IF($A31="","",IF($A31=1,Simulador!$B$11,$F30))</f>
        <v/>
      </c>
      <c r="D31" s="50" t="str">
        <f>IF($A31="","",$C31*Simulador!$B$18)</f>
        <v/>
      </c>
      <c r="E31" s="50" t="str">
        <f>IF($A31="","",MIN(Simulador!$B$19-$D31,$C31))</f>
        <v/>
      </c>
      <c r="F31" s="50" t="str">
        <f>IF($A31="","",MAX(0,$C31-$E31))</f>
        <v/>
      </c>
      <c r="G31" s="50" t="str">
        <f>IF($A31="","",$D31+$E31+Simulador!$B$15)</f>
        <v/>
      </c>
    </row>
    <row r="32" spans="1:7" x14ac:dyDescent="0.3">
      <c r="A32" s="48" t="str">
        <f>IF(ROW()-2&lt;=Simulador!$B$13,ROW()-2,"")</f>
        <v/>
      </c>
      <c r="B32" s="49" t="str">
        <f>IF($A32="","",EDATE(Simulador!$B$10,$A32))</f>
        <v/>
      </c>
      <c r="C32" s="50" t="str">
        <f>IF($A32="","",IF($A32=1,Simulador!$B$11,$F31))</f>
        <v/>
      </c>
      <c r="D32" s="50" t="str">
        <f>IF($A32="","",$C32*Simulador!$B$18)</f>
        <v/>
      </c>
      <c r="E32" s="50" t="str">
        <f>IF($A32="","",MIN(Simulador!$B$19-$D32,$C32))</f>
        <v/>
      </c>
      <c r="F32" s="50" t="str">
        <f>IF($A32="","",MAX(0,$C32-$E32))</f>
        <v/>
      </c>
      <c r="G32" s="50" t="str">
        <f>IF($A32="","",$D32+$E32+Simulador!$B$15)</f>
        <v/>
      </c>
    </row>
    <row r="33" spans="1:7" x14ac:dyDescent="0.3">
      <c r="A33" s="48" t="str">
        <f>IF(ROW()-2&lt;=Simulador!$B$13,ROW()-2,"")</f>
        <v/>
      </c>
      <c r="B33" s="49" t="str">
        <f>IF($A33="","",EDATE(Simulador!$B$10,$A33))</f>
        <v/>
      </c>
      <c r="C33" s="50" t="str">
        <f>IF($A33="","",IF($A33=1,Simulador!$B$11,$F32))</f>
        <v/>
      </c>
      <c r="D33" s="50" t="str">
        <f>IF($A33="","",$C33*Simulador!$B$18)</f>
        <v/>
      </c>
      <c r="E33" s="50" t="str">
        <f>IF($A33="","",MIN(Simulador!$B$19-$D33,$C33))</f>
        <v/>
      </c>
      <c r="F33" s="50" t="str">
        <f>IF($A33="","",MAX(0,$C33-$E33))</f>
        <v/>
      </c>
      <c r="G33" s="50" t="str">
        <f>IF($A33="","",$D33+$E33+Simulador!$B$15)</f>
        <v/>
      </c>
    </row>
    <row r="34" spans="1:7" x14ac:dyDescent="0.3">
      <c r="A34" s="48" t="str">
        <f>IF(ROW()-2&lt;=Simulador!$B$13,ROW()-2,"")</f>
        <v/>
      </c>
      <c r="B34" s="49" t="str">
        <f>IF($A34="","",EDATE(Simulador!$B$10,$A34))</f>
        <v/>
      </c>
      <c r="C34" s="50" t="str">
        <f>IF($A34="","",IF($A34=1,Simulador!$B$11,$F33))</f>
        <v/>
      </c>
      <c r="D34" s="50" t="str">
        <f>IF($A34="","",$C34*Simulador!$B$18)</f>
        <v/>
      </c>
      <c r="E34" s="50" t="str">
        <f>IF($A34="","",MIN(Simulador!$B$19-$D34,$C34))</f>
        <v/>
      </c>
      <c r="F34" s="50" t="str">
        <f>IF($A34="","",MAX(0,$C34-$E34))</f>
        <v/>
      </c>
      <c r="G34" s="50" t="str">
        <f>IF($A34="","",$D34+$E34+Simulador!$B$15)</f>
        <v/>
      </c>
    </row>
    <row r="35" spans="1:7" x14ac:dyDescent="0.3">
      <c r="A35" s="48" t="str">
        <f>IF(ROW()-2&lt;=Simulador!$B$13,ROW()-2,"")</f>
        <v/>
      </c>
      <c r="B35" s="49" t="str">
        <f>IF($A35="","",EDATE(Simulador!$B$10,$A35))</f>
        <v/>
      </c>
      <c r="C35" s="50" t="str">
        <f>IF($A35="","",IF($A35=1,Simulador!$B$11,$F34))</f>
        <v/>
      </c>
      <c r="D35" s="50" t="str">
        <f>IF($A35="","",$C35*Simulador!$B$18)</f>
        <v/>
      </c>
      <c r="E35" s="50" t="str">
        <f>IF($A35="","",MIN(Simulador!$B$19-$D35,$C35))</f>
        <v/>
      </c>
      <c r="F35" s="50" t="str">
        <f>IF($A35="","",MAX(0,$C35-$E35))</f>
        <v/>
      </c>
      <c r="G35" s="50" t="str">
        <f>IF($A35="","",$D35+$E35+Simulador!$B$15)</f>
        <v/>
      </c>
    </row>
    <row r="36" spans="1:7" x14ac:dyDescent="0.3">
      <c r="A36" s="48" t="str">
        <f>IF(ROW()-2&lt;=Simulador!$B$13,ROW()-2,"")</f>
        <v/>
      </c>
      <c r="B36" s="49" t="str">
        <f>IF($A36="","",EDATE(Simulador!$B$10,$A36))</f>
        <v/>
      </c>
      <c r="C36" s="50" t="str">
        <f>IF($A36="","",IF($A36=1,Simulador!$B$11,$F35))</f>
        <v/>
      </c>
      <c r="D36" s="50" t="str">
        <f>IF($A36="","",$C36*Simulador!$B$18)</f>
        <v/>
      </c>
      <c r="E36" s="50" t="str">
        <f>IF($A36="","",MIN(Simulador!$B$19-$D36,$C36))</f>
        <v/>
      </c>
      <c r="F36" s="50" t="str">
        <f>IF($A36="","",MAX(0,$C36-$E36))</f>
        <v/>
      </c>
      <c r="G36" s="50" t="str">
        <f>IF($A36="","",$D36+$E36+Simulador!$B$15)</f>
        <v/>
      </c>
    </row>
    <row r="37" spans="1:7" x14ac:dyDescent="0.3">
      <c r="A37" s="48" t="str">
        <f>IF(ROW()-2&lt;=Simulador!$B$13,ROW()-2,"")</f>
        <v/>
      </c>
      <c r="B37" s="49" t="str">
        <f>IF($A37="","",EDATE(Simulador!$B$10,$A37))</f>
        <v/>
      </c>
      <c r="C37" s="50" t="str">
        <f>IF($A37="","",IF($A37=1,Simulador!$B$11,$F36))</f>
        <v/>
      </c>
      <c r="D37" s="50" t="str">
        <f>IF($A37="","",$C37*Simulador!$B$18)</f>
        <v/>
      </c>
      <c r="E37" s="50" t="str">
        <f>IF($A37="","",MIN(Simulador!$B$19-$D37,$C37))</f>
        <v/>
      </c>
      <c r="F37" s="50" t="str">
        <f>IF($A37="","",MAX(0,$C37-$E37))</f>
        <v/>
      </c>
      <c r="G37" s="50" t="str">
        <f>IF($A37="","",$D37+$E37+Simulador!$B$15)</f>
        <v/>
      </c>
    </row>
    <row r="38" spans="1:7" x14ac:dyDescent="0.3">
      <c r="A38" s="48" t="str">
        <f>IF(ROW()-2&lt;=Simulador!$B$13,ROW()-2,"")</f>
        <v/>
      </c>
      <c r="B38" s="49" t="str">
        <f>IF($A38="","",EDATE(Simulador!$B$10,$A38))</f>
        <v/>
      </c>
      <c r="C38" s="50" t="str">
        <f>IF($A38="","",IF($A38=1,Simulador!$B$11,$F37))</f>
        <v/>
      </c>
      <c r="D38" s="50" t="str">
        <f>IF($A38="","",$C38*Simulador!$B$18)</f>
        <v/>
      </c>
      <c r="E38" s="50" t="str">
        <f>IF($A38="","",MIN(Simulador!$B$19-$D38,$C38))</f>
        <v/>
      </c>
      <c r="F38" s="50" t="str">
        <f>IF($A38="","",MAX(0,$C38-$E38))</f>
        <v/>
      </c>
      <c r="G38" s="50" t="str">
        <f>IF($A38="","",$D38+$E38+Simulador!$B$15)</f>
        <v/>
      </c>
    </row>
    <row r="39" spans="1:7" x14ac:dyDescent="0.3">
      <c r="A39" s="48" t="str">
        <f>IF(ROW()-2&lt;=Simulador!$B$13,ROW()-2,"")</f>
        <v/>
      </c>
      <c r="B39" s="49" t="str">
        <f>IF($A39="","",EDATE(Simulador!$B$10,$A39))</f>
        <v/>
      </c>
      <c r="C39" s="50" t="str">
        <f>IF($A39="","",IF($A39=1,Simulador!$B$11,$F38))</f>
        <v/>
      </c>
      <c r="D39" s="50" t="str">
        <f>IF($A39="","",$C39*Simulador!$B$18)</f>
        <v/>
      </c>
      <c r="E39" s="50" t="str">
        <f>IF($A39="","",MIN(Simulador!$B$19-$D39,$C39))</f>
        <v/>
      </c>
      <c r="F39" s="50" t="str">
        <f>IF($A39="","",MAX(0,$C39-$E39))</f>
        <v/>
      </c>
      <c r="G39" s="50" t="str">
        <f>IF($A39="","",$D39+$E39+Simulador!$B$15)</f>
        <v/>
      </c>
    </row>
    <row r="40" spans="1:7" x14ac:dyDescent="0.3">
      <c r="A40" s="48" t="str">
        <f>IF(ROW()-2&lt;=Simulador!$B$13,ROW()-2,"")</f>
        <v/>
      </c>
      <c r="B40" s="49" t="str">
        <f>IF($A40="","",EDATE(Simulador!$B$10,$A40))</f>
        <v/>
      </c>
      <c r="C40" s="50" t="str">
        <f>IF($A40="","",IF($A40=1,Simulador!$B$11,$F39))</f>
        <v/>
      </c>
      <c r="D40" s="50" t="str">
        <f>IF($A40="","",$C40*Simulador!$B$18)</f>
        <v/>
      </c>
      <c r="E40" s="50" t="str">
        <f>IF($A40="","",MIN(Simulador!$B$19-$D40,$C40))</f>
        <v/>
      </c>
      <c r="F40" s="50" t="str">
        <f>IF($A40="","",MAX(0,$C40-$E40))</f>
        <v/>
      </c>
      <c r="G40" s="50" t="str">
        <f>IF($A40="","",$D40+$E40+Simulador!$B$15)</f>
        <v/>
      </c>
    </row>
    <row r="41" spans="1:7" x14ac:dyDescent="0.3">
      <c r="A41" s="48" t="str">
        <f>IF(ROW()-2&lt;=Simulador!$B$13,ROW()-2,"")</f>
        <v/>
      </c>
      <c r="B41" s="49" t="str">
        <f>IF($A41="","",EDATE(Simulador!$B$10,$A41))</f>
        <v/>
      </c>
      <c r="C41" s="50" t="str">
        <f>IF($A41="","",IF($A41=1,Simulador!$B$11,$F40))</f>
        <v/>
      </c>
      <c r="D41" s="50" t="str">
        <f>IF($A41="","",$C41*Simulador!$B$18)</f>
        <v/>
      </c>
      <c r="E41" s="50" t="str">
        <f>IF($A41="","",MIN(Simulador!$B$19-$D41,$C41))</f>
        <v/>
      </c>
      <c r="F41" s="50" t="str">
        <f>IF($A41="","",MAX(0,$C41-$E41))</f>
        <v/>
      </c>
      <c r="G41" s="50" t="str">
        <f>IF($A41="","",$D41+$E41+Simulador!$B$15)</f>
        <v/>
      </c>
    </row>
    <row r="42" spans="1:7" x14ac:dyDescent="0.3">
      <c r="A42" s="48" t="str">
        <f>IF(ROW()-2&lt;=Simulador!$B$13,ROW()-2,"")</f>
        <v/>
      </c>
      <c r="B42" s="49" t="str">
        <f>IF($A42="","",EDATE(Simulador!$B$10,$A42))</f>
        <v/>
      </c>
      <c r="C42" s="50" t="str">
        <f>IF($A42="","",IF($A42=1,Simulador!$B$11,$F41))</f>
        <v/>
      </c>
      <c r="D42" s="50" t="str">
        <f>IF($A42="","",$C42*Simulador!$B$18)</f>
        <v/>
      </c>
      <c r="E42" s="50" t="str">
        <f>IF($A42="","",MIN(Simulador!$B$19-$D42,$C42))</f>
        <v/>
      </c>
      <c r="F42" s="50" t="str">
        <f>IF($A42="","",MAX(0,$C42-$E42))</f>
        <v/>
      </c>
      <c r="G42" s="50" t="str">
        <f>IF($A42="","",$D42+$E42+Simulador!$B$15)</f>
        <v/>
      </c>
    </row>
    <row r="43" spans="1:7" x14ac:dyDescent="0.3">
      <c r="A43" s="48" t="str">
        <f>IF(ROW()-2&lt;=Simulador!$B$13,ROW()-2,"")</f>
        <v/>
      </c>
      <c r="B43" s="49" t="str">
        <f>IF($A43="","",EDATE(Simulador!$B$10,$A43))</f>
        <v/>
      </c>
      <c r="C43" s="50" t="str">
        <f>IF($A43="","",IF($A43=1,Simulador!$B$11,$F42))</f>
        <v/>
      </c>
      <c r="D43" s="50" t="str">
        <f>IF($A43="","",$C43*Simulador!$B$18)</f>
        <v/>
      </c>
      <c r="E43" s="50" t="str">
        <f>IF($A43="","",MIN(Simulador!$B$19-$D43,$C43))</f>
        <v/>
      </c>
      <c r="F43" s="50" t="str">
        <f>IF($A43="","",MAX(0,$C43-$E43))</f>
        <v/>
      </c>
      <c r="G43" s="50" t="str">
        <f>IF($A43="","",$D43+$E43+Simulador!$B$15)</f>
        <v/>
      </c>
    </row>
    <row r="44" spans="1:7" x14ac:dyDescent="0.3">
      <c r="A44" s="48" t="str">
        <f>IF(ROW()-2&lt;=Simulador!$B$13,ROW()-2,"")</f>
        <v/>
      </c>
      <c r="B44" s="49" t="str">
        <f>IF($A44="","",EDATE(Simulador!$B$10,$A44))</f>
        <v/>
      </c>
      <c r="C44" s="50" t="str">
        <f>IF($A44="","",IF($A44=1,Simulador!$B$11,$F43))</f>
        <v/>
      </c>
      <c r="D44" s="50" t="str">
        <f>IF($A44="","",$C44*Simulador!$B$18)</f>
        <v/>
      </c>
      <c r="E44" s="50" t="str">
        <f>IF($A44="","",MIN(Simulador!$B$19-$D44,$C44))</f>
        <v/>
      </c>
      <c r="F44" s="50" t="str">
        <f>IF($A44="","",MAX(0,$C44-$E44))</f>
        <v/>
      </c>
      <c r="G44" s="50" t="str">
        <f>IF($A44="","",$D44+$E44+Simulador!$B$15)</f>
        <v/>
      </c>
    </row>
    <row r="45" spans="1:7" x14ac:dyDescent="0.3">
      <c r="A45" s="48" t="str">
        <f>IF(ROW()-2&lt;=Simulador!$B$13,ROW()-2,"")</f>
        <v/>
      </c>
      <c r="B45" s="49" t="str">
        <f>IF($A45="","",EDATE(Simulador!$B$10,$A45))</f>
        <v/>
      </c>
      <c r="C45" s="50" t="str">
        <f>IF($A45="","",IF($A45=1,Simulador!$B$11,$F44))</f>
        <v/>
      </c>
      <c r="D45" s="50" t="str">
        <f>IF($A45="","",$C45*Simulador!$B$18)</f>
        <v/>
      </c>
      <c r="E45" s="50" t="str">
        <f>IF($A45="","",MIN(Simulador!$B$19-$D45,$C45))</f>
        <v/>
      </c>
      <c r="F45" s="50" t="str">
        <f>IF($A45="","",MAX(0,$C45-$E45))</f>
        <v/>
      </c>
      <c r="G45" s="50" t="str">
        <f>IF($A45="","",$D45+$E45+Simulador!$B$15)</f>
        <v/>
      </c>
    </row>
    <row r="46" spans="1:7" x14ac:dyDescent="0.3">
      <c r="A46" s="48" t="str">
        <f>IF(ROW()-2&lt;=Simulador!$B$13,ROW()-2,"")</f>
        <v/>
      </c>
      <c r="B46" s="49" t="str">
        <f>IF($A46="","",EDATE(Simulador!$B$10,$A46))</f>
        <v/>
      </c>
      <c r="C46" s="50" t="str">
        <f>IF($A46="","",IF($A46=1,Simulador!$B$11,$F45))</f>
        <v/>
      </c>
      <c r="D46" s="50" t="str">
        <f>IF($A46="","",$C46*Simulador!$B$18)</f>
        <v/>
      </c>
      <c r="E46" s="50" t="str">
        <f>IF($A46="","",MIN(Simulador!$B$19-$D46,$C46))</f>
        <v/>
      </c>
      <c r="F46" s="50" t="str">
        <f>IF($A46="","",MAX(0,$C46-$E46))</f>
        <v/>
      </c>
      <c r="G46" s="50" t="str">
        <f>IF($A46="","",$D46+$E46+Simulador!$B$15)</f>
        <v/>
      </c>
    </row>
    <row r="47" spans="1:7" x14ac:dyDescent="0.3">
      <c r="A47" s="48" t="str">
        <f>IF(ROW()-2&lt;=Simulador!$B$13,ROW()-2,"")</f>
        <v/>
      </c>
      <c r="B47" s="49" t="str">
        <f>IF($A47="","",EDATE(Simulador!$B$10,$A47))</f>
        <v/>
      </c>
      <c r="C47" s="50" t="str">
        <f>IF($A47="","",IF($A47=1,Simulador!$B$11,$F46))</f>
        <v/>
      </c>
      <c r="D47" s="50" t="str">
        <f>IF($A47="","",$C47*Simulador!$B$18)</f>
        <v/>
      </c>
      <c r="E47" s="50" t="str">
        <f>IF($A47="","",MIN(Simulador!$B$19-$D47,$C47))</f>
        <v/>
      </c>
      <c r="F47" s="50" t="str">
        <f>IF($A47="","",MAX(0,$C47-$E47))</f>
        <v/>
      </c>
      <c r="G47" s="50" t="str">
        <f>IF($A47="","",$D47+$E47+Simulador!$B$15)</f>
        <v/>
      </c>
    </row>
    <row r="48" spans="1:7" x14ac:dyDescent="0.3">
      <c r="A48" s="48" t="str">
        <f>IF(ROW()-2&lt;=Simulador!$B$13,ROW()-2,"")</f>
        <v/>
      </c>
      <c r="B48" s="49" t="str">
        <f>IF($A48="","",EDATE(Simulador!$B$10,$A48))</f>
        <v/>
      </c>
      <c r="C48" s="50" t="str">
        <f>IF($A48="","",IF($A48=1,Simulador!$B$11,$F47))</f>
        <v/>
      </c>
      <c r="D48" s="50" t="str">
        <f>IF($A48="","",$C48*Simulador!$B$18)</f>
        <v/>
      </c>
      <c r="E48" s="50" t="str">
        <f>IF($A48="","",MIN(Simulador!$B$19-$D48,$C48))</f>
        <v/>
      </c>
      <c r="F48" s="50" t="str">
        <f>IF($A48="","",MAX(0,$C48-$E48))</f>
        <v/>
      </c>
      <c r="G48" s="50" t="str">
        <f>IF($A48="","",$D48+$E48+Simulador!$B$15)</f>
        <v/>
      </c>
    </row>
    <row r="49" spans="1:7" x14ac:dyDescent="0.3">
      <c r="A49" s="48" t="str">
        <f>IF(ROW()-2&lt;=Simulador!$B$13,ROW()-2,"")</f>
        <v/>
      </c>
      <c r="B49" s="49" t="str">
        <f>IF($A49="","",EDATE(Simulador!$B$10,$A49))</f>
        <v/>
      </c>
      <c r="C49" s="50" t="str">
        <f>IF($A49="","",IF($A49=1,Simulador!$B$11,$F48))</f>
        <v/>
      </c>
      <c r="D49" s="50" t="str">
        <f>IF($A49="","",$C49*Simulador!$B$18)</f>
        <v/>
      </c>
      <c r="E49" s="50" t="str">
        <f>IF($A49="","",MIN(Simulador!$B$19-$D49,$C49))</f>
        <v/>
      </c>
      <c r="F49" s="50" t="str">
        <f>IF($A49="","",MAX(0,$C49-$E49))</f>
        <v/>
      </c>
      <c r="G49" s="50" t="str">
        <f>IF($A49="","",$D49+$E49+Simulador!$B$15)</f>
        <v/>
      </c>
    </row>
    <row r="50" spans="1:7" x14ac:dyDescent="0.3">
      <c r="A50" s="48" t="str">
        <f>IF(ROW()-2&lt;=Simulador!$B$13,ROW()-2,"")</f>
        <v/>
      </c>
      <c r="B50" s="49" t="str">
        <f>IF($A50="","",EDATE(Simulador!$B$10,$A50))</f>
        <v/>
      </c>
      <c r="C50" s="50" t="str">
        <f>IF($A50="","",IF($A50=1,Simulador!$B$11,$F49))</f>
        <v/>
      </c>
      <c r="D50" s="50" t="str">
        <f>IF($A50="","",$C50*Simulador!$B$18)</f>
        <v/>
      </c>
      <c r="E50" s="50" t="str">
        <f>IF($A50="","",MIN(Simulador!$B$19-$D50,$C50))</f>
        <v/>
      </c>
      <c r="F50" s="50" t="str">
        <f>IF($A50="","",MAX(0,$C50-$E50))</f>
        <v/>
      </c>
      <c r="G50" s="50" t="str">
        <f>IF($A50="","",$D50+$E50+Simulador!$B$15)</f>
        <v/>
      </c>
    </row>
    <row r="51" spans="1:7" x14ac:dyDescent="0.3">
      <c r="A51" s="48" t="str">
        <f>IF(ROW()-2&lt;=Simulador!$B$13,ROW()-2,"")</f>
        <v/>
      </c>
      <c r="B51" s="49" t="str">
        <f>IF($A51="","",EDATE(Simulador!$B$10,$A51))</f>
        <v/>
      </c>
      <c r="C51" s="50" t="str">
        <f>IF($A51="","",IF($A51=1,Simulador!$B$11,$F50))</f>
        <v/>
      </c>
      <c r="D51" s="50" t="str">
        <f>IF($A51="","",$C51*Simulador!$B$18)</f>
        <v/>
      </c>
      <c r="E51" s="50" t="str">
        <f>IF($A51="","",MIN(Simulador!$B$19-$D51,$C51))</f>
        <v/>
      </c>
      <c r="F51" s="50" t="str">
        <f>IF($A51="","",MAX(0,$C51-$E51))</f>
        <v/>
      </c>
      <c r="G51" s="50" t="str">
        <f>IF($A51="","",$D51+$E51+Simulador!$B$15)</f>
        <v/>
      </c>
    </row>
    <row r="52" spans="1:7" x14ac:dyDescent="0.3">
      <c r="A52" s="48" t="str">
        <f>IF(ROW()-2&lt;=Simulador!$B$13,ROW()-2,"")</f>
        <v/>
      </c>
      <c r="B52" s="49" t="str">
        <f>IF($A52="","",EDATE(Simulador!$B$10,$A52))</f>
        <v/>
      </c>
      <c r="C52" s="50" t="str">
        <f>IF($A52="","",IF($A52=1,Simulador!$B$11,$F51))</f>
        <v/>
      </c>
      <c r="D52" s="50" t="str">
        <f>IF($A52="","",$C52*Simulador!$B$18)</f>
        <v/>
      </c>
      <c r="E52" s="50" t="str">
        <f>IF($A52="","",MIN(Simulador!$B$19-$D52,$C52))</f>
        <v/>
      </c>
      <c r="F52" s="50" t="str">
        <f>IF($A52="","",MAX(0,$C52-$E52))</f>
        <v/>
      </c>
      <c r="G52" s="50" t="str">
        <f>IF($A52="","",$D52+$E52+Simulador!$B$15)</f>
        <v/>
      </c>
    </row>
    <row r="53" spans="1:7" x14ac:dyDescent="0.3">
      <c r="A53" s="48" t="str">
        <f>IF(ROW()-2&lt;=Simulador!$B$13,ROW()-2,"")</f>
        <v/>
      </c>
      <c r="B53" s="49" t="str">
        <f>IF($A53="","",EDATE(Simulador!$B$10,$A53))</f>
        <v/>
      </c>
      <c r="C53" s="50" t="str">
        <f>IF($A53="","",IF($A53=1,Simulador!$B$11,$F52))</f>
        <v/>
      </c>
      <c r="D53" s="50" t="str">
        <f>IF($A53="","",$C53*Simulador!$B$18)</f>
        <v/>
      </c>
      <c r="E53" s="50" t="str">
        <f>IF($A53="","",MIN(Simulador!$B$19-$D53,$C53))</f>
        <v/>
      </c>
      <c r="F53" s="50" t="str">
        <f>IF($A53="","",MAX(0,$C53-$E53))</f>
        <v/>
      </c>
      <c r="G53" s="50" t="str">
        <f>IF($A53="","",$D53+$E53+Simulador!$B$15)</f>
        <v/>
      </c>
    </row>
    <row r="54" spans="1:7" x14ac:dyDescent="0.3">
      <c r="A54" s="48" t="str">
        <f>IF(ROW()-2&lt;=Simulador!$B$13,ROW()-2,"")</f>
        <v/>
      </c>
      <c r="B54" s="49" t="str">
        <f>IF($A54="","",EDATE(Simulador!$B$10,$A54))</f>
        <v/>
      </c>
      <c r="C54" s="50" t="str">
        <f>IF($A54="","",IF($A54=1,Simulador!$B$11,$F53))</f>
        <v/>
      </c>
      <c r="D54" s="50" t="str">
        <f>IF($A54="","",$C54*Simulador!$B$18)</f>
        <v/>
      </c>
      <c r="E54" s="50" t="str">
        <f>IF($A54="","",MIN(Simulador!$B$19-$D54,$C54))</f>
        <v/>
      </c>
      <c r="F54" s="50" t="str">
        <f>IF($A54="","",MAX(0,$C54-$E54))</f>
        <v/>
      </c>
      <c r="G54" s="50" t="str">
        <f>IF($A54="","",$D54+$E54+Simulador!$B$15)</f>
        <v/>
      </c>
    </row>
    <row r="55" spans="1:7" x14ac:dyDescent="0.3">
      <c r="A55" s="48" t="str">
        <f>IF(ROW()-2&lt;=Simulador!$B$13,ROW()-2,"")</f>
        <v/>
      </c>
      <c r="B55" s="49" t="str">
        <f>IF($A55="","",EDATE(Simulador!$B$10,$A55))</f>
        <v/>
      </c>
      <c r="C55" s="50" t="str">
        <f>IF($A55="","",IF($A55=1,Simulador!$B$11,$F54))</f>
        <v/>
      </c>
      <c r="D55" s="50" t="str">
        <f>IF($A55="","",$C55*Simulador!$B$18)</f>
        <v/>
      </c>
      <c r="E55" s="50" t="str">
        <f>IF($A55="","",MIN(Simulador!$B$19-$D55,$C55))</f>
        <v/>
      </c>
      <c r="F55" s="50" t="str">
        <f>IF($A55="","",MAX(0,$C55-$E55))</f>
        <v/>
      </c>
      <c r="G55" s="50" t="str">
        <f>IF($A55="","",$D55+$E55+Simulador!$B$15)</f>
        <v/>
      </c>
    </row>
    <row r="56" spans="1:7" x14ac:dyDescent="0.3">
      <c r="A56" s="48" t="str">
        <f>IF(ROW()-2&lt;=Simulador!$B$13,ROW()-2,"")</f>
        <v/>
      </c>
      <c r="B56" s="49" t="str">
        <f>IF($A56="","",EDATE(Simulador!$B$10,$A56))</f>
        <v/>
      </c>
      <c r="C56" s="50" t="str">
        <f>IF($A56="","",IF($A56=1,Simulador!$B$11,$F55))</f>
        <v/>
      </c>
      <c r="D56" s="50" t="str">
        <f>IF($A56="","",$C56*Simulador!$B$18)</f>
        <v/>
      </c>
      <c r="E56" s="50" t="str">
        <f>IF($A56="","",MIN(Simulador!$B$19-$D56,$C56))</f>
        <v/>
      </c>
      <c r="F56" s="50" t="str">
        <f>IF($A56="","",MAX(0,$C56-$E56))</f>
        <v/>
      </c>
      <c r="G56" s="50" t="str">
        <f>IF($A56="","",$D56+$E56+Simulador!$B$15)</f>
        <v/>
      </c>
    </row>
    <row r="57" spans="1:7" x14ac:dyDescent="0.3">
      <c r="A57" s="48" t="str">
        <f>IF(ROW()-2&lt;=Simulador!$B$13,ROW()-2,"")</f>
        <v/>
      </c>
      <c r="B57" s="49" t="str">
        <f>IF($A57="","",EDATE(Simulador!$B$10,$A57))</f>
        <v/>
      </c>
      <c r="C57" s="50" t="str">
        <f>IF($A57="","",IF($A57=1,Simulador!$B$11,$F56))</f>
        <v/>
      </c>
      <c r="D57" s="50" t="str">
        <f>IF($A57="","",$C57*Simulador!$B$18)</f>
        <v/>
      </c>
      <c r="E57" s="50" t="str">
        <f>IF($A57="","",MIN(Simulador!$B$19-$D57,$C57))</f>
        <v/>
      </c>
      <c r="F57" s="50" t="str">
        <f>IF($A57="","",MAX(0,$C57-$E57))</f>
        <v/>
      </c>
      <c r="G57" s="50" t="str">
        <f>IF($A57="","",$D57+$E57+Simulador!$B$15)</f>
        <v/>
      </c>
    </row>
    <row r="58" spans="1:7" x14ac:dyDescent="0.3">
      <c r="A58" s="48" t="str">
        <f>IF(ROW()-2&lt;=Simulador!$B$13,ROW()-2,"")</f>
        <v/>
      </c>
      <c r="B58" s="49" t="str">
        <f>IF($A58="","",EDATE(Simulador!$B$10,$A58))</f>
        <v/>
      </c>
      <c r="C58" s="50" t="str">
        <f>IF($A58="","",IF($A58=1,Simulador!$B$11,$F57))</f>
        <v/>
      </c>
      <c r="D58" s="50" t="str">
        <f>IF($A58="","",$C58*Simulador!$B$18)</f>
        <v/>
      </c>
      <c r="E58" s="50" t="str">
        <f>IF($A58="","",MIN(Simulador!$B$19-$D58,$C58))</f>
        <v/>
      </c>
      <c r="F58" s="50" t="str">
        <f>IF($A58="","",MAX(0,$C58-$E58))</f>
        <v/>
      </c>
      <c r="G58" s="50" t="str">
        <f>IF($A58="","",$D58+$E58+Simulador!$B$15)</f>
        <v/>
      </c>
    </row>
    <row r="59" spans="1:7" x14ac:dyDescent="0.3">
      <c r="A59" s="48" t="str">
        <f>IF(ROW()-2&lt;=Simulador!$B$13,ROW()-2,"")</f>
        <v/>
      </c>
      <c r="B59" s="49" t="str">
        <f>IF($A59="","",EDATE(Simulador!$B$10,$A59))</f>
        <v/>
      </c>
      <c r="C59" s="50" t="str">
        <f>IF($A59="","",IF($A59=1,Simulador!$B$11,$F58))</f>
        <v/>
      </c>
      <c r="D59" s="50" t="str">
        <f>IF($A59="","",$C59*Simulador!$B$18)</f>
        <v/>
      </c>
      <c r="E59" s="50" t="str">
        <f>IF($A59="","",MIN(Simulador!$B$19-$D59,$C59))</f>
        <v/>
      </c>
      <c r="F59" s="50" t="str">
        <f>IF($A59="","",MAX(0,$C59-$E59))</f>
        <v/>
      </c>
      <c r="G59" s="50" t="str">
        <f>IF($A59="","",$D59+$E59+Simulador!$B$15)</f>
        <v/>
      </c>
    </row>
    <row r="60" spans="1:7" x14ac:dyDescent="0.3">
      <c r="A60" s="48" t="str">
        <f>IF(ROW()-2&lt;=Simulador!$B$13,ROW()-2,"")</f>
        <v/>
      </c>
      <c r="B60" s="49" t="str">
        <f>IF($A60="","",EDATE(Simulador!$B$10,$A60))</f>
        <v/>
      </c>
      <c r="C60" s="50" t="str">
        <f>IF($A60="","",IF($A60=1,Simulador!$B$11,$F59))</f>
        <v/>
      </c>
      <c r="D60" s="50" t="str">
        <f>IF($A60="","",$C60*Simulador!$B$18)</f>
        <v/>
      </c>
      <c r="E60" s="50" t="str">
        <f>IF($A60="","",MIN(Simulador!$B$19-$D60,$C60))</f>
        <v/>
      </c>
      <c r="F60" s="50" t="str">
        <f>IF($A60="","",MAX(0,$C60-$E60))</f>
        <v/>
      </c>
      <c r="G60" s="50" t="str">
        <f>IF($A60="","",$D60+$E60+Simulador!$B$15)</f>
        <v/>
      </c>
    </row>
    <row r="61" spans="1:7" x14ac:dyDescent="0.3">
      <c r="A61" s="48" t="str">
        <f>IF(ROW()-2&lt;=Simulador!$B$13,ROW()-2,"")</f>
        <v/>
      </c>
      <c r="B61" s="49" t="str">
        <f>IF($A61="","",EDATE(Simulador!$B$10,$A61))</f>
        <v/>
      </c>
      <c r="C61" s="50" t="str">
        <f>IF($A61="","",IF($A61=1,Simulador!$B$11,$F60))</f>
        <v/>
      </c>
      <c r="D61" s="50" t="str">
        <f>IF($A61="","",$C61*Simulador!$B$18)</f>
        <v/>
      </c>
      <c r="E61" s="50" t="str">
        <f>IF($A61="","",MIN(Simulador!$B$19-$D61,$C61))</f>
        <v/>
      </c>
      <c r="F61" s="50" t="str">
        <f>IF($A61="","",MAX(0,$C61-$E61))</f>
        <v/>
      </c>
      <c r="G61" s="50" t="str">
        <f>IF($A61="","",$D61+$E61+Simulador!$B$15)</f>
        <v/>
      </c>
    </row>
    <row r="62" spans="1:7" x14ac:dyDescent="0.3">
      <c r="A62" s="48" t="str">
        <f>IF(ROW()-2&lt;=Simulador!$B$13,ROW()-2,"")</f>
        <v/>
      </c>
      <c r="B62" s="49" t="str">
        <f>IF($A62="","",EDATE(Simulador!$B$10,$A62))</f>
        <v/>
      </c>
      <c r="C62" s="50" t="str">
        <f>IF($A62="","",IF($A62=1,Simulador!$B$11,$F61))</f>
        <v/>
      </c>
      <c r="D62" s="50" t="str">
        <f>IF($A62="","",$C62*Simulador!$B$18)</f>
        <v/>
      </c>
      <c r="E62" s="50" t="str">
        <f>IF($A62="","",MIN(Simulador!$B$19-$D62,$C62))</f>
        <v/>
      </c>
      <c r="F62" s="50" t="str">
        <f>IF($A62="","",MAX(0,$C62-$E62))</f>
        <v/>
      </c>
      <c r="G62" s="50" t="str">
        <f>IF($A62="","",$D62+$E62+Simulador!$B$15)</f>
        <v/>
      </c>
    </row>
    <row r="63" spans="1:7" x14ac:dyDescent="0.3">
      <c r="A63" s="48" t="str">
        <f>IF(ROW()-2&lt;=Simulador!$B$13,ROW()-2,"")</f>
        <v/>
      </c>
      <c r="B63" s="49" t="str">
        <f>IF($A63="","",EDATE(Simulador!$B$10,$A63))</f>
        <v/>
      </c>
      <c r="C63" s="50" t="str">
        <f>IF($A63="","",IF($A63=1,Simulador!$B$11,$F62))</f>
        <v/>
      </c>
      <c r="D63" s="50" t="str">
        <f>IF($A63="","",$C63*Simulador!$B$18)</f>
        <v/>
      </c>
      <c r="E63" s="50" t="str">
        <f>IF($A63="","",MIN(Simulador!$B$19-$D63,$C63))</f>
        <v/>
      </c>
      <c r="F63" s="50" t="str">
        <f>IF($A63="","",MAX(0,$C63-$E63))</f>
        <v/>
      </c>
      <c r="G63" s="50" t="str">
        <f>IF($A63="","",$D63+$E63+Simulador!$B$15)</f>
        <v/>
      </c>
    </row>
    <row r="64" spans="1:7" x14ac:dyDescent="0.3">
      <c r="A64" s="48" t="str">
        <f>IF(ROW()-2&lt;=Simulador!$B$13,ROW()-2,"")</f>
        <v/>
      </c>
      <c r="B64" s="49" t="str">
        <f>IF($A64="","",EDATE(Simulador!$B$10,$A64))</f>
        <v/>
      </c>
      <c r="C64" s="50" t="str">
        <f>IF($A64="","",IF($A64=1,Simulador!$B$11,$F63))</f>
        <v/>
      </c>
      <c r="D64" s="50" t="str">
        <f>IF($A64="","",$C64*Simulador!$B$18)</f>
        <v/>
      </c>
      <c r="E64" s="50" t="str">
        <f>IF($A64="","",MIN(Simulador!$B$19-$D64,$C64))</f>
        <v/>
      </c>
      <c r="F64" s="50" t="str">
        <f>IF($A64="","",MAX(0,$C64-$E64))</f>
        <v/>
      </c>
      <c r="G64" s="50" t="str">
        <f>IF($A64="","",$D64+$E64+Simulador!$B$15)</f>
        <v/>
      </c>
    </row>
    <row r="65" spans="1:7" x14ac:dyDescent="0.3">
      <c r="A65" s="48" t="str">
        <f>IF(ROW()-2&lt;=Simulador!$B$13,ROW()-2,"")</f>
        <v/>
      </c>
      <c r="B65" s="49" t="str">
        <f>IF($A65="","",EDATE(Simulador!$B$10,$A65))</f>
        <v/>
      </c>
      <c r="C65" s="50" t="str">
        <f>IF($A65="","",IF($A65=1,Simulador!$B$11,$F64))</f>
        <v/>
      </c>
      <c r="D65" s="50" t="str">
        <f>IF($A65="","",$C65*Simulador!$B$18)</f>
        <v/>
      </c>
      <c r="E65" s="50" t="str">
        <f>IF($A65="","",MIN(Simulador!$B$19-$D65,$C65))</f>
        <v/>
      </c>
      <c r="F65" s="50" t="str">
        <f>IF($A65="","",MAX(0,$C65-$E65))</f>
        <v/>
      </c>
      <c r="G65" s="50" t="str">
        <f>IF($A65="","",$D65+$E65+Simulador!$B$15)</f>
        <v/>
      </c>
    </row>
    <row r="66" spans="1:7" x14ac:dyDescent="0.3">
      <c r="A66" s="48" t="str">
        <f>IF(ROW()-2&lt;=Simulador!$B$13,ROW()-2,"")</f>
        <v/>
      </c>
      <c r="B66" s="49" t="str">
        <f>IF($A66="","",EDATE(Simulador!$B$10,$A66))</f>
        <v/>
      </c>
      <c r="C66" s="50" t="str">
        <f>IF($A66="","",IF($A66=1,Simulador!$B$11,$F65))</f>
        <v/>
      </c>
      <c r="D66" s="50" t="str">
        <f>IF($A66="","",$C66*Simulador!$B$18)</f>
        <v/>
      </c>
      <c r="E66" s="50" t="str">
        <f>IF($A66="","",MIN(Simulador!$B$19-$D66,$C66))</f>
        <v/>
      </c>
      <c r="F66" s="50" t="str">
        <f>IF($A66="","",MAX(0,$C66-$E66))</f>
        <v/>
      </c>
      <c r="G66" s="50" t="str">
        <f>IF($A66="","",$D66+$E66+Simulador!$B$15)</f>
        <v/>
      </c>
    </row>
    <row r="67" spans="1:7" x14ac:dyDescent="0.3">
      <c r="A67" s="48" t="str">
        <f>IF(ROW()-2&lt;=Simulador!$B$13,ROW()-2,"")</f>
        <v/>
      </c>
      <c r="B67" s="49" t="str">
        <f>IF($A67="","",EDATE(Simulador!$B$10,$A67))</f>
        <v/>
      </c>
      <c r="C67" s="50" t="str">
        <f>IF($A67="","",IF($A67=1,Simulador!$B$11,$F66))</f>
        <v/>
      </c>
      <c r="D67" s="50" t="str">
        <f>IF($A67="","",$C67*Simulador!$B$18)</f>
        <v/>
      </c>
      <c r="E67" s="50" t="str">
        <f>IF($A67="","",MIN(Simulador!$B$19-$D67,$C67))</f>
        <v/>
      </c>
      <c r="F67" s="50" t="str">
        <f>IF($A67="","",MAX(0,$C67-$E67))</f>
        <v/>
      </c>
      <c r="G67" s="50" t="str">
        <f>IF($A67="","",$D67+$E67+Simulador!$B$15)</f>
        <v/>
      </c>
    </row>
    <row r="68" spans="1:7" x14ac:dyDescent="0.3">
      <c r="A68" s="48" t="str">
        <f>IF(ROW()-2&lt;=Simulador!$B$13,ROW()-2,"")</f>
        <v/>
      </c>
      <c r="B68" s="49" t="str">
        <f>IF($A68="","",EDATE(Simulador!$B$10,$A68))</f>
        <v/>
      </c>
      <c r="C68" s="50" t="str">
        <f>IF($A68="","",IF($A68=1,Simulador!$B$11,$F67))</f>
        <v/>
      </c>
      <c r="D68" s="50" t="str">
        <f>IF($A68="","",$C68*Simulador!$B$18)</f>
        <v/>
      </c>
      <c r="E68" s="50" t="str">
        <f>IF($A68="","",MIN(Simulador!$B$19-$D68,$C68))</f>
        <v/>
      </c>
      <c r="F68" s="50" t="str">
        <f>IF($A68="","",MAX(0,$C68-$E68))</f>
        <v/>
      </c>
      <c r="G68" s="50" t="str">
        <f>IF($A68="","",$D68+$E68+Simulador!$B$15)</f>
        <v/>
      </c>
    </row>
    <row r="69" spans="1:7" x14ac:dyDescent="0.3">
      <c r="A69" s="48" t="str">
        <f>IF(ROW()-2&lt;=Simulador!$B$13,ROW()-2,"")</f>
        <v/>
      </c>
      <c r="B69" s="49" t="str">
        <f>IF($A69="","",EDATE(Simulador!$B$10,$A69))</f>
        <v/>
      </c>
      <c r="C69" s="50" t="str">
        <f>IF($A69="","",IF($A69=1,Simulador!$B$11,$F68))</f>
        <v/>
      </c>
      <c r="D69" s="50" t="str">
        <f>IF($A69="","",$C69*Simulador!$B$18)</f>
        <v/>
      </c>
      <c r="E69" s="50" t="str">
        <f>IF($A69="","",MIN(Simulador!$B$19-$D69,$C69))</f>
        <v/>
      </c>
      <c r="F69" s="50" t="str">
        <f>IF($A69="","",MAX(0,$C69-$E69))</f>
        <v/>
      </c>
      <c r="G69" s="50" t="str">
        <f>IF($A69="","",$D69+$E69+Simulador!$B$15)</f>
        <v/>
      </c>
    </row>
    <row r="70" spans="1:7" x14ac:dyDescent="0.3">
      <c r="A70" s="48" t="str">
        <f>IF(ROW()-2&lt;=Simulador!$B$13,ROW()-2,"")</f>
        <v/>
      </c>
      <c r="B70" s="49" t="str">
        <f>IF($A70="","",EDATE(Simulador!$B$10,$A70))</f>
        <v/>
      </c>
      <c r="C70" s="50" t="str">
        <f>IF($A70="","",IF($A70=1,Simulador!$B$11,$F69))</f>
        <v/>
      </c>
      <c r="D70" s="50" t="str">
        <f>IF($A70="","",$C70*Simulador!$B$18)</f>
        <v/>
      </c>
      <c r="E70" s="50" t="str">
        <f>IF($A70="","",MIN(Simulador!$B$19-$D70,$C70))</f>
        <v/>
      </c>
      <c r="F70" s="50" t="str">
        <f>IF($A70="","",MAX(0,$C70-$E70))</f>
        <v/>
      </c>
      <c r="G70" s="50" t="str">
        <f>IF($A70="","",$D70+$E70+Simulador!$B$15)</f>
        <v/>
      </c>
    </row>
    <row r="71" spans="1:7" x14ac:dyDescent="0.3">
      <c r="A71" s="48" t="str">
        <f>IF(ROW()-2&lt;=Simulador!$B$13,ROW()-2,"")</f>
        <v/>
      </c>
      <c r="B71" s="49" t="str">
        <f>IF($A71="","",EDATE(Simulador!$B$10,$A71))</f>
        <v/>
      </c>
      <c r="C71" s="50" t="str">
        <f>IF($A71="","",IF($A71=1,Simulador!$B$11,$F70))</f>
        <v/>
      </c>
      <c r="D71" s="50" t="str">
        <f>IF($A71="","",$C71*Simulador!$B$18)</f>
        <v/>
      </c>
      <c r="E71" s="50" t="str">
        <f>IF($A71="","",MIN(Simulador!$B$19-$D71,$C71))</f>
        <v/>
      </c>
      <c r="F71" s="50" t="str">
        <f>IF($A71="","",MAX(0,$C71-$E71))</f>
        <v/>
      </c>
      <c r="G71" s="50" t="str">
        <f>IF($A71="","",$D71+$E71+Simulador!$B$15)</f>
        <v/>
      </c>
    </row>
    <row r="72" spans="1:7" x14ac:dyDescent="0.3">
      <c r="A72" s="48" t="str">
        <f>IF(ROW()-2&lt;=Simulador!$B$13,ROW()-2,"")</f>
        <v/>
      </c>
      <c r="B72" s="49" t="str">
        <f>IF($A72="","",EDATE(Simulador!$B$10,$A72))</f>
        <v/>
      </c>
      <c r="C72" s="50" t="str">
        <f>IF($A72="","",IF($A72=1,Simulador!$B$11,$F71))</f>
        <v/>
      </c>
      <c r="D72" s="50" t="str">
        <f>IF($A72="","",$C72*Simulador!$B$18)</f>
        <v/>
      </c>
      <c r="E72" s="50" t="str">
        <f>IF($A72="","",MIN(Simulador!$B$19-$D72,$C72))</f>
        <v/>
      </c>
      <c r="F72" s="50" t="str">
        <f>IF($A72="","",MAX(0,$C72-$E72))</f>
        <v/>
      </c>
      <c r="G72" s="50" t="str">
        <f>IF($A72="","",$D72+$E72+Simulador!$B$15)</f>
        <v/>
      </c>
    </row>
    <row r="73" spans="1:7" x14ac:dyDescent="0.3">
      <c r="A73" s="48" t="str">
        <f>IF(ROW()-2&lt;=Simulador!$B$13,ROW()-2,"")</f>
        <v/>
      </c>
      <c r="B73" s="49" t="str">
        <f>IF($A73="","",EDATE(Simulador!$B$10,$A73))</f>
        <v/>
      </c>
      <c r="C73" s="50" t="str">
        <f>IF($A73="","",IF($A73=1,Simulador!$B$11,$F72))</f>
        <v/>
      </c>
      <c r="D73" s="50" t="str">
        <f>IF($A73="","",$C73*Simulador!$B$18)</f>
        <v/>
      </c>
      <c r="E73" s="50" t="str">
        <f>IF($A73="","",MIN(Simulador!$B$19-$D73,$C73))</f>
        <v/>
      </c>
      <c r="F73" s="50" t="str">
        <f>IF($A73="","",MAX(0,$C73-$E73))</f>
        <v/>
      </c>
      <c r="G73" s="50" t="str">
        <f>IF($A73="","",$D73+$E73+Simulador!$B$15)</f>
        <v/>
      </c>
    </row>
    <row r="74" spans="1:7" x14ac:dyDescent="0.3">
      <c r="A74" s="48" t="str">
        <f>IF(ROW()-2&lt;=Simulador!$B$13,ROW()-2,"")</f>
        <v/>
      </c>
      <c r="B74" s="49" t="str">
        <f>IF($A74="","",EDATE(Simulador!$B$10,$A74))</f>
        <v/>
      </c>
      <c r="C74" s="50" t="str">
        <f>IF($A74="","",IF($A74=1,Simulador!$B$11,$F73))</f>
        <v/>
      </c>
      <c r="D74" s="50" t="str">
        <f>IF($A74="","",$C74*Simulador!$B$18)</f>
        <v/>
      </c>
      <c r="E74" s="50" t="str">
        <f>IF($A74="","",MIN(Simulador!$B$19-$D74,$C74))</f>
        <v/>
      </c>
      <c r="F74" s="50" t="str">
        <f>IF($A74="","",MAX(0,$C74-$E74))</f>
        <v/>
      </c>
      <c r="G74" s="50" t="str">
        <f>IF($A74="","",$D74+$E74+Simulador!$B$15)</f>
        <v/>
      </c>
    </row>
    <row r="75" spans="1:7" x14ac:dyDescent="0.3">
      <c r="A75" s="48" t="str">
        <f>IF(ROW()-2&lt;=Simulador!$B$13,ROW()-2,"")</f>
        <v/>
      </c>
      <c r="B75" s="49" t="str">
        <f>IF($A75="","",EDATE(Simulador!$B$10,$A75))</f>
        <v/>
      </c>
      <c r="C75" s="50" t="str">
        <f>IF($A75="","",IF($A75=1,Simulador!$B$11,$F74))</f>
        <v/>
      </c>
      <c r="D75" s="50" t="str">
        <f>IF($A75="","",$C75*Simulador!$B$18)</f>
        <v/>
      </c>
      <c r="E75" s="50" t="str">
        <f>IF($A75="","",MIN(Simulador!$B$19-$D75,$C75))</f>
        <v/>
      </c>
      <c r="F75" s="50" t="str">
        <f>IF($A75="","",MAX(0,$C75-$E75))</f>
        <v/>
      </c>
      <c r="G75" s="50" t="str">
        <f>IF($A75="","",$D75+$E75+Simulador!$B$15)</f>
        <v/>
      </c>
    </row>
    <row r="76" spans="1:7" x14ac:dyDescent="0.3">
      <c r="A76" s="48" t="str">
        <f>IF(ROW()-2&lt;=Simulador!$B$13,ROW()-2,"")</f>
        <v/>
      </c>
      <c r="B76" s="49" t="str">
        <f>IF($A76="","",EDATE(Simulador!$B$10,$A76))</f>
        <v/>
      </c>
      <c r="C76" s="50" t="str">
        <f>IF($A76="","",IF($A76=1,Simulador!$B$11,$F75))</f>
        <v/>
      </c>
      <c r="D76" s="50" t="str">
        <f>IF($A76="","",$C76*Simulador!$B$18)</f>
        <v/>
      </c>
      <c r="E76" s="50" t="str">
        <f>IF($A76="","",MIN(Simulador!$B$19-$D76,$C76))</f>
        <v/>
      </c>
      <c r="F76" s="50" t="str">
        <f>IF($A76="","",MAX(0,$C76-$E76))</f>
        <v/>
      </c>
      <c r="G76" s="50" t="str">
        <f>IF($A76="","",$D76+$E76+Simulador!$B$15)</f>
        <v/>
      </c>
    </row>
    <row r="77" spans="1:7" x14ac:dyDescent="0.3">
      <c r="A77" s="48" t="str">
        <f>IF(ROW()-2&lt;=Simulador!$B$13,ROW()-2,"")</f>
        <v/>
      </c>
      <c r="B77" s="49" t="str">
        <f>IF($A77="","",EDATE(Simulador!$B$10,$A77))</f>
        <v/>
      </c>
      <c r="C77" s="50" t="str">
        <f>IF($A77="","",IF($A77=1,Simulador!$B$11,$F76))</f>
        <v/>
      </c>
      <c r="D77" s="50" t="str">
        <f>IF($A77="","",$C77*Simulador!$B$18)</f>
        <v/>
      </c>
      <c r="E77" s="50" t="str">
        <f>IF($A77="","",MIN(Simulador!$B$19-$D77,$C77))</f>
        <v/>
      </c>
      <c r="F77" s="50" t="str">
        <f>IF($A77="","",MAX(0,$C77-$E77))</f>
        <v/>
      </c>
      <c r="G77" s="50" t="str">
        <f>IF($A77="","",$D77+$E77+Simulador!$B$15)</f>
        <v/>
      </c>
    </row>
    <row r="78" spans="1:7" x14ac:dyDescent="0.3">
      <c r="A78" s="48" t="str">
        <f>IF(ROW()-2&lt;=Simulador!$B$13,ROW()-2,"")</f>
        <v/>
      </c>
      <c r="B78" s="49" t="str">
        <f>IF($A78="","",EDATE(Simulador!$B$10,$A78))</f>
        <v/>
      </c>
      <c r="C78" s="50" t="str">
        <f>IF($A78="","",IF($A78=1,Simulador!$B$11,$F77))</f>
        <v/>
      </c>
      <c r="D78" s="50" t="str">
        <f>IF($A78="","",$C78*Simulador!$B$18)</f>
        <v/>
      </c>
      <c r="E78" s="50" t="str">
        <f>IF($A78="","",MIN(Simulador!$B$19-$D78,$C78))</f>
        <v/>
      </c>
      <c r="F78" s="50" t="str">
        <f>IF($A78="","",MAX(0,$C78-$E78))</f>
        <v/>
      </c>
      <c r="G78" s="50" t="str">
        <f>IF($A78="","",$D78+$E78+Simulador!$B$15)</f>
        <v/>
      </c>
    </row>
    <row r="79" spans="1:7" x14ac:dyDescent="0.3">
      <c r="A79" s="48" t="str">
        <f>IF(ROW()-2&lt;=Simulador!$B$13,ROW()-2,"")</f>
        <v/>
      </c>
      <c r="B79" s="49" t="str">
        <f>IF($A79="","",EDATE(Simulador!$B$10,$A79))</f>
        <v/>
      </c>
      <c r="C79" s="50" t="str">
        <f>IF($A79="","",IF($A79=1,Simulador!$B$11,$F78))</f>
        <v/>
      </c>
      <c r="D79" s="50" t="str">
        <f>IF($A79="","",$C79*Simulador!$B$18)</f>
        <v/>
      </c>
      <c r="E79" s="50" t="str">
        <f>IF($A79="","",MIN(Simulador!$B$19-$D79,$C79))</f>
        <v/>
      </c>
      <c r="F79" s="50" t="str">
        <f>IF($A79="","",MAX(0,$C79-$E79))</f>
        <v/>
      </c>
      <c r="G79" s="50" t="str">
        <f>IF($A79="","",$D79+$E79+Simulador!$B$15)</f>
        <v/>
      </c>
    </row>
    <row r="80" spans="1:7" x14ac:dyDescent="0.3">
      <c r="A80" s="48" t="str">
        <f>IF(ROW()-2&lt;=Simulador!$B$13,ROW()-2,"")</f>
        <v/>
      </c>
      <c r="B80" s="49" t="str">
        <f>IF($A80="","",EDATE(Simulador!$B$10,$A80))</f>
        <v/>
      </c>
      <c r="C80" s="50" t="str">
        <f>IF($A80="","",IF($A80=1,Simulador!$B$11,$F79))</f>
        <v/>
      </c>
      <c r="D80" s="50" t="str">
        <f>IF($A80="","",$C80*Simulador!$B$18)</f>
        <v/>
      </c>
      <c r="E80" s="50" t="str">
        <f>IF($A80="","",MIN(Simulador!$B$19-$D80,$C80))</f>
        <v/>
      </c>
      <c r="F80" s="50" t="str">
        <f>IF($A80="","",MAX(0,$C80-$E80))</f>
        <v/>
      </c>
      <c r="G80" s="50" t="str">
        <f>IF($A80="","",$D80+$E80+Simulador!$B$15)</f>
        <v/>
      </c>
    </row>
    <row r="81" spans="1:7" x14ac:dyDescent="0.3">
      <c r="A81" s="48" t="str">
        <f>IF(ROW()-2&lt;=Simulador!$B$13,ROW()-2,"")</f>
        <v/>
      </c>
      <c r="B81" s="49" t="str">
        <f>IF($A81="","",EDATE(Simulador!$B$10,$A81))</f>
        <v/>
      </c>
      <c r="C81" s="50" t="str">
        <f>IF($A81="","",IF($A81=1,Simulador!$B$11,$F80))</f>
        <v/>
      </c>
      <c r="D81" s="50" t="str">
        <f>IF($A81="","",$C81*Simulador!$B$18)</f>
        <v/>
      </c>
      <c r="E81" s="50" t="str">
        <f>IF($A81="","",MIN(Simulador!$B$19-$D81,$C81))</f>
        <v/>
      </c>
      <c r="F81" s="50" t="str">
        <f>IF($A81="","",MAX(0,$C81-$E81))</f>
        <v/>
      </c>
      <c r="G81" s="50" t="str">
        <f>IF($A81="","",$D81+$E81+Simulador!$B$15)</f>
        <v/>
      </c>
    </row>
    <row r="82" spans="1:7" x14ac:dyDescent="0.3">
      <c r="A82" s="48" t="str">
        <f>IF(ROW()-2&lt;=Simulador!$B$13,ROW()-2,"")</f>
        <v/>
      </c>
      <c r="B82" s="49" t="str">
        <f>IF($A82="","",EDATE(Simulador!$B$10,$A82))</f>
        <v/>
      </c>
      <c r="C82" s="50" t="str">
        <f>IF($A82="","",IF($A82=1,Simulador!$B$11,$F81))</f>
        <v/>
      </c>
      <c r="D82" s="50" t="str">
        <f>IF($A82="","",$C82*Simulador!$B$18)</f>
        <v/>
      </c>
      <c r="E82" s="50" t="str">
        <f>IF($A82="","",MIN(Simulador!$B$19-$D82,$C82))</f>
        <v/>
      </c>
      <c r="F82" s="50" t="str">
        <f>IF($A82="","",MAX(0,$C82-$E82))</f>
        <v/>
      </c>
      <c r="G82" s="50" t="str">
        <f>IF($A82="","",$D82+$E82+Simulador!$B$15)</f>
        <v/>
      </c>
    </row>
    <row r="83" spans="1:7" x14ac:dyDescent="0.3">
      <c r="A83" s="48" t="str">
        <f>IF(ROW()-2&lt;=Simulador!$B$13,ROW()-2,"")</f>
        <v/>
      </c>
      <c r="B83" s="49" t="str">
        <f>IF($A83="","",EDATE(Simulador!$B$10,$A83))</f>
        <v/>
      </c>
      <c r="C83" s="50" t="str">
        <f>IF($A83="","",IF($A83=1,Simulador!$B$11,$F82))</f>
        <v/>
      </c>
      <c r="D83" s="50" t="str">
        <f>IF($A83="","",$C83*Simulador!$B$18)</f>
        <v/>
      </c>
      <c r="E83" s="50" t="str">
        <f>IF($A83="","",MIN(Simulador!$B$19-$D83,$C83))</f>
        <v/>
      </c>
      <c r="F83" s="50" t="str">
        <f>IF($A83="","",MAX(0,$C83-$E83))</f>
        <v/>
      </c>
      <c r="G83" s="50" t="str">
        <f>IF($A83="","",$D83+$E83+Simulador!$B$15)</f>
        <v/>
      </c>
    </row>
    <row r="84" spans="1:7" x14ac:dyDescent="0.3">
      <c r="A84" s="48" t="str">
        <f>IF(ROW()-2&lt;=Simulador!$B$13,ROW()-2,"")</f>
        <v/>
      </c>
      <c r="B84" s="49" t="str">
        <f>IF($A84="","",EDATE(Simulador!$B$10,$A84))</f>
        <v/>
      </c>
      <c r="C84" s="50" t="str">
        <f>IF($A84="","",IF($A84=1,Simulador!$B$11,$F83))</f>
        <v/>
      </c>
      <c r="D84" s="50" t="str">
        <f>IF($A84="","",$C84*Simulador!$B$18)</f>
        <v/>
      </c>
      <c r="E84" s="50" t="str">
        <f>IF($A84="","",MIN(Simulador!$B$19-$D84,$C84))</f>
        <v/>
      </c>
      <c r="F84" s="50" t="str">
        <f>IF($A84="","",MAX(0,$C84-$E84))</f>
        <v/>
      </c>
      <c r="G84" s="50" t="str">
        <f>IF($A84="","",$D84+$E84+Simulador!$B$15)</f>
        <v/>
      </c>
    </row>
    <row r="85" spans="1:7" x14ac:dyDescent="0.3">
      <c r="A85" s="48" t="str">
        <f>IF(ROW()-2&lt;=Simulador!$B$13,ROW()-2,"")</f>
        <v/>
      </c>
      <c r="B85" s="49" t="str">
        <f>IF($A85="","",EDATE(Simulador!$B$10,$A85))</f>
        <v/>
      </c>
      <c r="C85" s="50" t="str">
        <f>IF($A85="","",IF($A85=1,Simulador!$B$11,$F84))</f>
        <v/>
      </c>
      <c r="D85" s="50" t="str">
        <f>IF($A85="","",$C85*Simulador!$B$18)</f>
        <v/>
      </c>
      <c r="E85" s="50" t="str">
        <f>IF($A85="","",MIN(Simulador!$B$19-$D85,$C85))</f>
        <v/>
      </c>
      <c r="F85" s="50" t="str">
        <f>IF($A85="","",MAX(0,$C85-$E85))</f>
        <v/>
      </c>
      <c r="G85" s="50" t="str">
        <f>IF($A85="","",$D85+$E85+Simulador!$B$15)</f>
        <v/>
      </c>
    </row>
    <row r="86" spans="1:7" x14ac:dyDescent="0.3">
      <c r="A86" s="48" t="str">
        <f>IF(ROW()-2&lt;=Simulador!$B$13,ROW()-2,"")</f>
        <v/>
      </c>
      <c r="B86" s="49" t="str">
        <f>IF($A86="","",EDATE(Simulador!$B$10,$A86))</f>
        <v/>
      </c>
      <c r="C86" s="50" t="str">
        <f>IF($A86="","",IF($A86=1,Simulador!$B$11,$F85))</f>
        <v/>
      </c>
      <c r="D86" s="50" t="str">
        <f>IF($A86="","",$C86*Simulador!$B$18)</f>
        <v/>
      </c>
      <c r="E86" s="50" t="str">
        <f>IF($A86="","",MIN(Simulador!$B$19-$D86,$C86))</f>
        <v/>
      </c>
      <c r="F86" s="50" t="str">
        <f>IF($A86="","",MAX(0,$C86-$E86))</f>
        <v/>
      </c>
      <c r="G86" s="50" t="str">
        <f>IF($A86="","",$D86+$E86+Simulador!$B$15)</f>
        <v/>
      </c>
    </row>
    <row r="87" spans="1:7" x14ac:dyDescent="0.3">
      <c r="A87" s="48" t="str">
        <f>IF(ROW()-2&lt;=Simulador!$B$13,ROW()-2,"")</f>
        <v/>
      </c>
      <c r="B87" s="49" t="str">
        <f>IF($A87="","",EDATE(Simulador!$B$10,$A87))</f>
        <v/>
      </c>
      <c r="C87" s="50" t="str">
        <f>IF($A87="","",IF($A87=1,Simulador!$B$11,$F86))</f>
        <v/>
      </c>
      <c r="D87" s="50" t="str">
        <f>IF($A87="","",$C87*Simulador!$B$18)</f>
        <v/>
      </c>
      <c r="E87" s="50" t="str">
        <f>IF($A87="","",MIN(Simulador!$B$19-$D87,$C87))</f>
        <v/>
      </c>
      <c r="F87" s="50" t="str">
        <f>IF($A87="","",MAX(0,$C87-$E87))</f>
        <v/>
      </c>
      <c r="G87" s="50" t="str">
        <f>IF($A87="","",$D87+$E87+Simulador!$B$15)</f>
        <v/>
      </c>
    </row>
    <row r="88" spans="1:7" x14ac:dyDescent="0.3">
      <c r="A88" s="48" t="str">
        <f>IF(ROW()-2&lt;=Simulador!$B$13,ROW()-2,"")</f>
        <v/>
      </c>
      <c r="B88" s="49" t="str">
        <f>IF($A88="","",EDATE(Simulador!$B$10,$A88))</f>
        <v/>
      </c>
      <c r="C88" s="50" t="str">
        <f>IF($A88="","",IF($A88=1,Simulador!$B$11,$F87))</f>
        <v/>
      </c>
      <c r="D88" s="50" t="str">
        <f>IF($A88="","",$C88*Simulador!$B$18)</f>
        <v/>
      </c>
      <c r="E88" s="50" t="str">
        <f>IF($A88="","",MIN(Simulador!$B$19-$D88,$C88))</f>
        <v/>
      </c>
      <c r="F88" s="50" t="str">
        <f>IF($A88="","",MAX(0,$C88-$E88))</f>
        <v/>
      </c>
      <c r="G88" s="50" t="str">
        <f>IF($A88="","",$D88+$E88+Simulador!$B$15)</f>
        <v/>
      </c>
    </row>
    <row r="89" spans="1:7" x14ac:dyDescent="0.3">
      <c r="A89" s="48" t="str">
        <f>IF(ROW()-2&lt;=Simulador!$B$13,ROW()-2,"")</f>
        <v/>
      </c>
      <c r="B89" s="49" t="str">
        <f>IF($A89="","",EDATE(Simulador!$B$10,$A89))</f>
        <v/>
      </c>
      <c r="C89" s="50" t="str">
        <f>IF($A89="","",IF($A89=1,Simulador!$B$11,$F88))</f>
        <v/>
      </c>
      <c r="D89" s="50" t="str">
        <f>IF($A89="","",$C89*Simulador!$B$18)</f>
        <v/>
      </c>
      <c r="E89" s="50" t="str">
        <f>IF($A89="","",MIN(Simulador!$B$19-$D89,$C89))</f>
        <v/>
      </c>
      <c r="F89" s="50" t="str">
        <f>IF($A89="","",MAX(0,$C89-$E89))</f>
        <v/>
      </c>
      <c r="G89" s="50" t="str">
        <f>IF($A89="","",$D89+$E89+Simulador!$B$15)</f>
        <v/>
      </c>
    </row>
    <row r="90" spans="1:7" x14ac:dyDescent="0.3">
      <c r="A90" s="48" t="str">
        <f>IF(ROW()-2&lt;=Simulador!$B$13,ROW()-2,"")</f>
        <v/>
      </c>
      <c r="B90" s="49" t="str">
        <f>IF($A90="","",EDATE(Simulador!$B$10,$A90))</f>
        <v/>
      </c>
      <c r="C90" s="50" t="str">
        <f>IF($A90="","",IF($A90=1,Simulador!$B$11,$F89))</f>
        <v/>
      </c>
      <c r="D90" s="50" t="str">
        <f>IF($A90="","",$C90*Simulador!$B$18)</f>
        <v/>
      </c>
      <c r="E90" s="50" t="str">
        <f>IF($A90="","",MIN(Simulador!$B$19-$D90,$C90))</f>
        <v/>
      </c>
      <c r="F90" s="50" t="str">
        <f>IF($A90="","",MAX(0,$C90-$E90))</f>
        <v/>
      </c>
      <c r="G90" s="50" t="str">
        <f>IF($A90="","",$D90+$E90+Simulador!$B$15)</f>
        <v/>
      </c>
    </row>
    <row r="91" spans="1:7" x14ac:dyDescent="0.3">
      <c r="A91" s="48" t="str">
        <f>IF(ROW()-2&lt;=Simulador!$B$13,ROW()-2,"")</f>
        <v/>
      </c>
      <c r="B91" s="49" t="str">
        <f>IF($A91="","",EDATE(Simulador!$B$10,$A91))</f>
        <v/>
      </c>
      <c r="C91" s="50" t="str">
        <f>IF($A91="","",IF($A91=1,Simulador!$B$11,$F90))</f>
        <v/>
      </c>
      <c r="D91" s="50" t="str">
        <f>IF($A91="","",$C91*Simulador!$B$18)</f>
        <v/>
      </c>
      <c r="E91" s="50" t="str">
        <f>IF($A91="","",MIN(Simulador!$B$19-$D91,$C91))</f>
        <v/>
      </c>
      <c r="F91" s="50" t="str">
        <f>IF($A91="","",MAX(0,$C91-$E91))</f>
        <v/>
      </c>
      <c r="G91" s="50" t="str">
        <f>IF($A91="","",$D91+$E91+Simulador!$B$15)</f>
        <v/>
      </c>
    </row>
    <row r="92" spans="1:7" x14ac:dyDescent="0.3">
      <c r="A92" s="48" t="str">
        <f>IF(ROW()-2&lt;=Simulador!$B$13,ROW()-2,"")</f>
        <v/>
      </c>
      <c r="B92" s="49" t="str">
        <f>IF($A92="","",EDATE(Simulador!$B$10,$A92))</f>
        <v/>
      </c>
      <c r="C92" s="50" t="str">
        <f>IF($A92="","",IF($A92=1,Simulador!$B$11,$F91))</f>
        <v/>
      </c>
      <c r="D92" s="50" t="str">
        <f>IF($A92="","",$C92*Simulador!$B$18)</f>
        <v/>
      </c>
      <c r="E92" s="50" t="str">
        <f>IF($A92="","",MIN(Simulador!$B$19-$D92,$C92))</f>
        <v/>
      </c>
      <c r="F92" s="50" t="str">
        <f>IF($A92="","",MAX(0,$C92-$E92))</f>
        <v/>
      </c>
      <c r="G92" s="50" t="str">
        <f>IF($A92="","",$D92+$E92+Simulador!$B$15)</f>
        <v/>
      </c>
    </row>
    <row r="93" spans="1:7" x14ac:dyDescent="0.3">
      <c r="A93" s="48" t="str">
        <f>IF(ROW()-2&lt;=Simulador!$B$13,ROW()-2,"")</f>
        <v/>
      </c>
      <c r="B93" s="49" t="str">
        <f>IF($A93="","",EDATE(Simulador!$B$10,$A93))</f>
        <v/>
      </c>
      <c r="C93" s="50" t="str">
        <f>IF($A93="","",IF($A93=1,Simulador!$B$11,$F92))</f>
        <v/>
      </c>
      <c r="D93" s="50" t="str">
        <f>IF($A93="","",$C93*Simulador!$B$18)</f>
        <v/>
      </c>
      <c r="E93" s="50" t="str">
        <f>IF($A93="","",MIN(Simulador!$B$19-$D93,$C93))</f>
        <v/>
      </c>
      <c r="F93" s="50" t="str">
        <f>IF($A93="","",MAX(0,$C93-$E93))</f>
        <v/>
      </c>
      <c r="G93" s="50" t="str">
        <f>IF($A93="","",$D93+$E93+Simulador!$B$15)</f>
        <v/>
      </c>
    </row>
    <row r="94" spans="1:7" x14ac:dyDescent="0.3">
      <c r="A94" s="48" t="str">
        <f>IF(ROW()-2&lt;=Simulador!$B$13,ROW()-2,"")</f>
        <v/>
      </c>
      <c r="B94" s="49" t="str">
        <f>IF($A94="","",EDATE(Simulador!$B$10,$A94))</f>
        <v/>
      </c>
      <c r="C94" s="50" t="str">
        <f>IF($A94="","",IF($A94=1,Simulador!$B$11,$F93))</f>
        <v/>
      </c>
      <c r="D94" s="50" t="str">
        <f>IF($A94="","",$C94*Simulador!$B$18)</f>
        <v/>
      </c>
      <c r="E94" s="50" t="str">
        <f>IF($A94="","",MIN(Simulador!$B$19-$D94,$C94))</f>
        <v/>
      </c>
      <c r="F94" s="50" t="str">
        <f>IF($A94="","",MAX(0,$C94-$E94))</f>
        <v/>
      </c>
      <c r="G94" s="50" t="str">
        <f>IF($A94="","",$D94+$E94+Simulador!$B$15)</f>
        <v/>
      </c>
    </row>
    <row r="95" spans="1:7" x14ac:dyDescent="0.3">
      <c r="A95" s="48" t="str">
        <f>IF(ROW()-2&lt;=Simulador!$B$13,ROW()-2,"")</f>
        <v/>
      </c>
      <c r="B95" s="49" t="str">
        <f>IF($A95="","",EDATE(Simulador!$B$10,$A95))</f>
        <v/>
      </c>
      <c r="C95" s="50" t="str">
        <f>IF($A95="","",IF($A95=1,Simulador!$B$11,$F94))</f>
        <v/>
      </c>
      <c r="D95" s="50" t="str">
        <f>IF($A95="","",$C95*Simulador!$B$18)</f>
        <v/>
      </c>
      <c r="E95" s="50" t="str">
        <f>IF($A95="","",MIN(Simulador!$B$19-$D95,$C95))</f>
        <v/>
      </c>
      <c r="F95" s="50" t="str">
        <f>IF($A95="","",MAX(0,$C95-$E95))</f>
        <v/>
      </c>
      <c r="G95" s="50" t="str">
        <f>IF($A95="","",$D95+$E95+Simulador!$B$15)</f>
        <v/>
      </c>
    </row>
    <row r="96" spans="1:7" x14ac:dyDescent="0.3">
      <c r="A96" s="48" t="str">
        <f>IF(ROW()-2&lt;=Simulador!$B$13,ROW()-2,"")</f>
        <v/>
      </c>
      <c r="B96" s="49" t="str">
        <f>IF($A96="","",EDATE(Simulador!$B$10,$A96))</f>
        <v/>
      </c>
      <c r="C96" s="50" t="str">
        <f>IF($A96="","",IF($A96=1,Simulador!$B$11,$F95))</f>
        <v/>
      </c>
      <c r="D96" s="50" t="str">
        <f>IF($A96="","",$C96*Simulador!$B$18)</f>
        <v/>
      </c>
      <c r="E96" s="50" t="str">
        <f>IF($A96="","",MIN(Simulador!$B$19-$D96,$C96))</f>
        <v/>
      </c>
      <c r="F96" s="50" t="str">
        <f>IF($A96="","",MAX(0,$C96-$E96))</f>
        <v/>
      </c>
      <c r="G96" s="50" t="str">
        <f>IF($A96="","",$D96+$E96+Simulador!$B$15)</f>
        <v/>
      </c>
    </row>
    <row r="97" spans="1:7" x14ac:dyDescent="0.3">
      <c r="A97" s="48" t="str">
        <f>IF(ROW()-2&lt;=Simulador!$B$13,ROW()-2,"")</f>
        <v/>
      </c>
      <c r="B97" s="49" t="str">
        <f>IF($A97="","",EDATE(Simulador!$B$10,$A97))</f>
        <v/>
      </c>
      <c r="C97" s="50" t="str">
        <f>IF($A97="","",IF($A97=1,Simulador!$B$11,$F96))</f>
        <v/>
      </c>
      <c r="D97" s="50" t="str">
        <f>IF($A97="","",$C97*Simulador!$B$18)</f>
        <v/>
      </c>
      <c r="E97" s="50" t="str">
        <f>IF($A97="","",MIN(Simulador!$B$19-$D97,$C97))</f>
        <v/>
      </c>
      <c r="F97" s="50" t="str">
        <f>IF($A97="","",MAX(0,$C97-$E97))</f>
        <v/>
      </c>
      <c r="G97" s="50" t="str">
        <f>IF($A97="","",$D97+$E97+Simulador!$B$15)</f>
        <v/>
      </c>
    </row>
    <row r="98" spans="1:7" x14ac:dyDescent="0.3">
      <c r="A98" s="48" t="str">
        <f>IF(ROW()-2&lt;=Simulador!$B$13,ROW()-2,"")</f>
        <v/>
      </c>
      <c r="B98" s="49" t="str">
        <f>IF($A98="","",EDATE(Simulador!$B$10,$A98))</f>
        <v/>
      </c>
      <c r="C98" s="50" t="str">
        <f>IF($A98="","",IF($A98=1,Simulador!$B$11,$F97))</f>
        <v/>
      </c>
      <c r="D98" s="50" t="str">
        <f>IF($A98="","",$C98*Simulador!$B$18)</f>
        <v/>
      </c>
      <c r="E98" s="50" t="str">
        <f>IF($A98="","",MIN(Simulador!$B$19-$D98,$C98))</f>
        <v/>
      </c>
      <c r="F98" s="50" t="str">
        <f>IF($A98="","",MAX(0,$C98-$E98))</f>
        <v/>
      </c>
      <c r="G98" s="50" t="str">
        <f>IF($A98="","",$D98+$E98+Simulador!$B$15)</f>
        <v/>
      </c>
    </row>
    <row r="99" spans="1:7" x14ac:dyDescent="0.3">
      <c r="A99" s="48" t="str">
        <f>IF(ROW()-2&lt;=Simulador!$B$13,ROW()-2,"")</f>
        <v/>
      </c>
      <c r="B99" s="49" t="str">
        <f>IF($A99="","",EDATE(Simulador!$B$10,$A99))</f>
        <v/>
      </c>
      <c r="C99" s="50" t="str">
        <f>IF($A99="","",IF($A99=1,Simulador!$B$11,$F98))</f>
        <v/>
      </c>
      <c r="D99" s="50" t="str">
        <f>IF($A99="","",$C99*Simulador!$B$18)</f>
        <v/>
      </c>
      <c r="E99" s="50" t="str">
        <f>IF($A99="","",MIN(Simulador!$B$19-$D99,$C99))</f>
        <v/>
      </c>
      <c r="F99" s="50" t="str">
        <f>IF($A99="","",MAX(0,$C99-$E99))</f>
        <v/>
      </c>
      <c r="G99" s="50" t="str">
        <f>IF($A99="","",$D99+$E99+Simulador!$B$15)</f>
        <v/>
      </c>
    </row>
    <row r="100" spans="1:7" x14ac:dyDescent="0.3">
      <c r="A100" s="48" t="str">
        <f>IF(ROW()-2&lt;=Simulador!$B$13,ROW()-2,"")</f>
        <v/>
      </c>
      <c r="B100" s="49" t="str">
        <f>IF($A100="","",EDATE(Simulador!$B$10,$A100))</f>
        <v/>
      </c>
      <c r="C100" s="50" t="str">
        <f>IF($A100="","",IF($A100=1,Simulador!$B$11,$F99))</f>
        <v/>
      </c>
      <c r="D100" s="50" t="str">
        <f>IF($A100="","",$C100*Simulador!$B$18)</f>
        <v/>
      </c>
      <c r="E100" s="50" t="str">
        <f>IF($A100="","",MIN(Simulador!$B$19-$D100,$C100))</f>
        <v/>
      </c>
      <c r="F100" s="50" t="str">
        <f>IF($A100="","",MAX(0,$C100-$E100))</f>
        <v/>
      </c>
      <c r="G100" s="50" t="str">
        <f>IF($A100="","",$D100+$E100+Simulador!$B$15)</f>
        <v/>
      </c>
    </row>
    <row r="101" spans="1:7" x14ac:dyDescent="0.3">
      <c r="A101" s="48" t="str">
        <f>IF(ROW()-2&lt;=Simulador!$B$13,ROW()-2,"")</f>
        <v/>
      </c>
      <c r="B101" s="49" t="str">
        <f>IF($A101="","",EDATE(Simulador!$B$10,$A101))</f>
        <v/>
      </c>
      <c r="C101" s="50" t="str">
        <f>IF($A101="","",IF($A101=1,Simulador!$B$11,$F100))</f>
        <v/>
      </c>
      <c r="D101" s="50" t="str">
        <f>IF($A101="","",$C101*Simulador!$B$18)</f>
        <v/>
      </c>
      <c r="E101" s="50" t="str">
        <f>IF($A101="","",MIN(Simulador!$B$19-$D101,$C101))</f>
        <v/>
      </c>
      <c r="F101" s="50" t="str">
        <f>IF($A101="","",MAX(0,$C101-$E101))</f>
        <v/>
      </c>
      <c r="G101" s="50" t="str">
        <f>IF($A101="","",$D101+$E101+Simulador!$B$15)</f>
        <v/>
      </c>
    </row>
    <row r="102" spans="1:7" x14ac:dyDescent="0.3">
      <c r="A102" s="48" t="str">
        <f>IF(ROW()-2&lt;=Simulador!$B$13,ROW()-2,"")</f>
        <v/>
      </c>
      <c r="B102" s="49" t="str">
        <f>IF($A102="","",EDATE(Simulador!$B$10,$A102))</f>
        <v/>
      </c>
      <c r="C102" s="50" t="str">
        <f>IF($A102="","",IF($A102=1,Simulador!$B$11,$F101))</f>
        <v/>
      </c>
      <c r="D102" s="50" t="str">
        <f>IF($A102="","",$C102*Simulador!$B$18)</f>
        <v/>
      </c>
      <c r="E102" s="50" t="str">
        <f>IF($A102="","",MIN(Simulador!$B$19-$D102,$C102))</f>
        <v/>
      </c>
      <c r="F102" s="50" t="str">
        <f>IF($A102="","",MAX(0,$C102-$E102))</f>
        <v/>
      </c>
      <c r="G102" s="50" t="str">
        <f>IF($A102="","",$D102+$E102+Simulador!$B$15)</f>
        <v/>
      </c>
    </row>
    <row r="103" spans="1:7" x14ac:dyDescent="0.3">
      <c r="A103" s="48" t="str">
        <f>IF(ROW()-2&lt;=Simulador!$B$13,ROW()-2,"")</f>
        <v/>
      </c>
      <c r="B103" s="49" t="str">
        <f>IF($A103="","",EDATE(Simulador!$B$10,$A103))</f>
        <v/>
      </c>
      <c r="C103" s="50" t="str">
        <f>IF($A103="","",IF($A103=1,Simulador!$B$11,$F102))</f>
        <v/>
      </c>
      <c r="D103" s="50" t="str">
        <f>IF($A103="","",$C103*Simulador!$B$18)</f>
        <v/>
      </c>
      <c r="E103" s="50" t="str">
        <f>IF($A103="","",MIN(Simulador!$B$19-$D103,$C103))</f>
        <v/>
      </c>
      <c r="F103" s="50" t="str">
        <f>IF($A103="","",MAX(0,$C103-$E103))</f>
        <v/>
      </c>
      <c r="G103" s="50" t="str">
        <f>IF($A103="","",$D103+$E103+Simulador!$B$15)</f>
        <v/>
      </c>
    </row>
    <row r="104" spans="1:7" x14ac:dyDescent="0.3">
      <c r="A104" s="48" t="str">
        <f>IF(ROW()-2&lt;=Simulador!$B$13,ROW()-2,"")</f>
        <v/>
      </c>
      <c r="B104" s="49" t="str">
        <f>IF($A104="","",EDATE(Simulador!$B$10,$A104))</f>
        <v/>
      </c>
      <c r="C104" s="50" t="str">
        <f>IF($A104="","",IF($A104=1,Simulador!$B$11,$F103))</f>
        <v/>
      </c>
      <c r="D104" s="50" t="str">
        <f>IF($A104="","",$C104*Simulador!$B$18)</f>
        <v/>
      </c>
      <c r="E104" s="50" t="str">
        <f>IF($A104="","",MIN(Simulador!$B$19-$D104,$C104))</f>
        <v/>
      </c>
      <c r="F104" s="50" t="str">
        <f>IF($A104="","",MAX(0,$C104-$E104))</f>
        <v/>
      </c>
      <c r="G104" s="50" t="str">
        <f>IF($A104="","",$D104+$E104+Simulador!$B$15)</f>
        <v/>
      </c>
    </row>
    <row r="105" spans="1:7" x14ac:dyDescent="0.3">
      <c r="A105" s="48" t="str">
        <f>IF(ROW()-2&lt;=Simulador!$B$13,ROW()-2,"")</f>
        <v/>
      </c>
      <c r="B105" s="49" t="str">
        <f>IF($A105="","",EDATE(Simulador!$B$10,$A105))</f>
        <v/>
      </c>
      <c r="C105" s="50" t="str">
        <f>IF($A105="","",IF($A105=1,Simulador!$B$11,$F104))</f>
        <v/>
      </c>
      <c r="D105" s="50" t="str">
        <f>IF($A105="","",$C105*Simulador!$B$18)</f>
        <v/>
      </c>
      <c r="E105" s="50" t="str">
        <f>IF($A105="","",MIN(Simulador!$B$19-$D105,$C105))</f>
        <v/>
      </c>
      <c r="F105" s="50" t="str">
        <f>IF($A105="","",MAX(0,$C105-$E105))</f>
        <v/>
      </c>
      <c r="G105" s="50" t="str">
        <f>IF($A105="","",$D105+$E105+Simulador!$B$15)</f>
        <v/>
      </c>
    </row>
    <row r="106" spans="1:7" x14ac:dyDescent="0.3">
      <c r="A106" s="48" t="str">
        <f>IF(ROW()-2&lt;=Simulador!$B$13,ROW()-2,"")</f>
        <v/>
      </c>
      <c r="B106" s="49" t="str">
        <f>IF($A106="","",EDATE(Simulador!$B$10,$A106))</f>
        <v/>
      </c>
      <c r="C106" s="50" t="str">
        <f>IF($A106="","",IF($A106=1,Simulador!$B$11,$F105))</f>
        <v/>
      </c>
      <c r="D106" s="50" t="str">
        <f>IF($A106="","",$C106*Simulador!$B$18)</f>
        <v/>
      </c>
      <c r="E106" s="50" t="str">
        <f>IF($A106="","",MIN(Simulador!$B$19-$D106,$C106))</f>
        <v/>
      </c>
      <c r="F106" s="50" t="str">
        <f>IF($A106="","",MAX(0,$C106-$E106))</f>
        <v/>
      </c>
      <c r="G106" s="50" t="str">
        <f>IF($A106="","",$D106+$E106+Simulador!$B$15)</f>
        <v/>
      </c>
    </row>
    <row r="107" spans="1:7" x14ac:dyDescent="0.3">
      <c r="A107" s="48" t="str">
        <f>IF(ROW()-2&lt;=Simulador!$B$13,ROW()-2,"")</f>
        <v/>
      </c>
      <c r="B107" s="49" t="str">
        <f>IF($A107="","",EDATE(Simulador!$B$10,$A107))</f>
        <v/>
      </c>
      <c r="C107" s="50" t="str">
        <f>IF($A107="","",IF($A107=1,Simulador!$B$11,$F106))</f>
        <v/>
      </c>
      <c r="D107" s="50" t="str">
        <f>IF($A107="","",$C107*Simulador!$B$18)</f>
        <v/>
      </c>
      <c r="E107" s="50" t="str">
        <f>IF($A107="","",MIN(Simulador!$B$19-$D107,$C107))</f>
        <v/>
      </c>
      <c r="F107" s="50" t="str">
        <f>IF($A107="","",MAX(0,$C107-$E107))</f>
        <v/>
      </c>
      <c r="G107" s="50" t="str">
        <f>IF($A107="","",$D107+$E107+Simulador!$B$15)</f>
        <v/>
      </c>
    </row>
    <row r="108" spans="1:7" x14ac:dyDescent="0.3">
      <c r="A108" s="48" t="str">
        <f>IF(ROW()-2&lt;=Simulador!$B$13,ROW()-2,"")</f>
        <v/>
      </c>
      <c r="B108" s="49" t="str">
        <f>IF($A108="","",EDATE(Simulador!$B$10,$A108))</f>
        <v/>
      </c>
      <c r="C108" s="50" t="str">
        <f>IF($A108="","",IF($A108=1,Simulador!$B$11,$F107))</f>
        <v/>
      </c>
      <c r="D108" s="50" t="str">
        <f>IF($A108="","",$C108*Simulador!$B$18)</f>
        <v/>
      </c>
      <c r="E108" s="50" t="str">
        <f>IF($A108="","",MIN(Simulador!$B$19-$D108,$C108))</f>
        <v/>
      </c>
      <c r="F108" s="50" t="str">
        <f>IF($A108="","",MAX(0,$C108-$E108))</f>
        <v/>
      </c>
      <c r="G108" s="50" t="str">
        <f>IF($A108="","",$D108+$E108+Simulador!$B$15)</f>
        <v/>
      </c>
    </row>
    <row r="109" spans="1:7" x14ac:dyDescent="0.3">
      <c r="A109" s="48" t="str">
        <f>IF(ROW()-2&lt;=Simulador!$B$13,ROW()-2,"")</f>
        <v/>
      </c>
      <c r="B109" s="49" t="str">
        <f>IF($A109="","",EDATE(Simulador!$B$10,$A109))</f>
        <v/>
      </c>
      <c r="C109" s="50" t="str">
        <f>IF($A109="","",IF($A109=1,Simulador!$B$11,$F108))</f>
        <v/>
      </c>
      <c r="D109" s="50" t="str">
        <f>IF($A109="","",$C109*Simulador!$B$18)</f>
        <v/>
      </c>
      <c r="E109" s="50" t="str">
        <f>IF($A109="","",MIN(Simulador!$B$19-$D109,$C109))</f>
        <v/>
      </c>
      <c r="F109" s="50" t="str">
        <f>IF($A109="","",MAX(0,$C109-$E109))</f>
        <v/>
      </c>
      <c r="G109" s="50" t="str">
        <f>IF($A109="","",$D109+$E109+Simulador!$B$15)</f>
        <v/>
      </c>
    </row>
    <row r="110" spans="1:7" x14ac:dyDescent="0.3">
      <c r="A110" s="48" t="str">
        <f>IF(ROW()-2&lt;=Simulador!$B$13,ROW()-2,"")</f>
        <v/>
      </c>
      <c r="B110" s="49" t="str">
        <f>IF($A110="","",EDATE(Simulador!$B$10,$A110))</f>
        <v/>
      </c>
      <c r="C110" s="50" t="str">
        <f>IF($A110="","",IF($A110=1,Simulador!$B$11,$F109))</f>
        <v/>
      </c>
      <c r="D110" s="50" t="str">
        <f>IF($A110="","",$C110*Simulador!$B$18)</f>
        <v/>
      </c>
      <c r="E110" s="50" t="str">
        <f>IF($A110="","",MIN(Simulador!$B$19-$D110,$C110))</f>
        <v/>
      </c>
      <c r="F110" s="50" t="str">
        <f>IF($A110="","",MAX(0,$C110-$E110))</f>
        <v/>
      </c>
      <c r="G110" s="50" t="str">
        <f>IF($A110="","",$D110+$E110+Simulador!$B$15)</f>
        <v/>
      </c>
    </row>
    <row r="111" spans="1:7" x14ac:dyDescent="0.3">
      <c r="A111" s="48" t="str">
        <f>IF(ROW()-2&lt;=Simulador!$B$13,ROW()-2,"")</f>
        <v/>
      </c>
      <c r="B111" s="49" t="str">
        <f>IF($A111="","",EDATE(Simulador!$B$10,$A111))</f>
        <v/>
      </c>
      <c r="C111" s="50" t="str">
        <f>IF($A111="","",IF($A111=1,Simulador!$B$11,$F110))</f>
        <v/>
      </c>
      <c r="D111" s="50" t="str">
        <f>IF($A111="","",$C111*Simulador!$B$18)</f>
        <v/>
      </c>
      <c r="E111" s="50" t="str">
        <f>IF($A111="","",MIN(Simulador!$B$19-$D111,$C111))</f>
        <v/>
      </c>
      <c r="F111" s="50" t="str">
        <f>IF($A111="","",MAX(0,$C111-$E111))</f>
        <v/>
      </c>
      <c r="G111" s="50" t="str">
        <f>IF($A111="","",$D111+$E111+Simulador!$B$15)</f>
        <v/>
      </c>
    </row>
    <row r="112" spans="1:7" x14ac:dyDescent="0.3">
      <c r="A112" s="48" t="str">
        <f>IF(ROW()-2&lt;=Simulador!$B$13,ROW()-2,"")</f>
        <v/>
      </c>
      <c r="B112" s="49" t="str">
        <f>IF($A112="","",EDATE(Simulador!$B$10,$A112))</f>
        <v/>
      </c>
      <c r="C112" s="50" t="str">
        <f>IF($A112="","",IF($A112=1,Simulador!$B$11,$F111))</f>
        <v/>
      </c>
      <c r="D112" s="50" t="str">
        <f>IF($A112="","",$C112*Simulador!$B$18)</f>
        <v/>
      </c>
      <c r="E112" s="50" t="str">
        <f>IF($A112="","",MIN(Simulador!$B$19-$D112,$C112))</f>
        <v/>
      </c>
      <c r="F112" s="50" t="str">
        <f>IF($A112="","",MAX(0,$C112-$E112))</f>
        <v/>
      </c>
      <c r="G112" s="50" t="str">
        <f>IF($A112="","",$D112+$E112+Simulador!$B$15)</f>
        <v/>
      </c>
    </row>
    <row r="113" spans="1:7" x14ac:dyDescent="0.3">
      <c r="A113" s="48" t="str">
        <f>IF(ROW()-2&lt;=Simulador!$B$13,ROW()-2,"")</f>
        <v/>
      </c>
      <c r="B113" s="49" t="str">
        <f>IF($A113="","",EDATE(Simulador!$B$10,$A113))</f>
        <v/>
      </c>
      <c r="C113" s="50" t="str">
        <f>IF($A113="","",IF($A113=1,Simulador!$B$11,$F112))</f>
        <v/>
      </c>
      <c r="D113" s="50" t="str">
        <f>IF($A113="","",$C113*Simulador!$B$18)</f>
        <v/>
      </c>
      <c r="E113" s="50" t="str">
        <f>IF($A113="","",MIN(Simulador!$B$19-$D113,$C113))</f>
        <v/>
      </c>
      <c r="F113" s="50" t="str">
        <f>IF($A113="","",MAX(0,$C113-$E113))</f>
        <v/>
      </c>
      <c r="G113" s="50" t="str">
        <f>IF($A113="","",$D113+$E113+Simulador!$B$15)</f>
        <v/>
      </c>
    </row>
    <row r="114" spans="1:7" x14ac:dyDescent="0.3">
      <c r="A114" s="48" t="str">
        <f>IF(ROW()-2&lt;=Simulador!$B$13,ROW()-2,"")</f>
        <v/>
      </c>
      <c r="B114" s="49" t="str">
        <f>IF($A114="","",EDATE(Simulador!$B$10,$A114))</f>
        <v/>
      </c>
      <c r="C114" s="50" t="str">
        <f>IF($A114="","",IF($A114=1,Simulador!$B$11,$F113))</f>
        <v/>
      </c>
      <c r="D114" s="50" t="str">
        <f>IF($A114="","",$C114*Simulador!$B$18)</f>
        <v/>
      </c>
      <c r="E114" s="50" t="str">
        <f>IF($A114="","",MIN(Simulador!$B$19-$D114,$C114))</f>
        <v/>
      </c>
      <c r="F114" s="50" t="str">
        <f>IF($A114="","",MAX(0,$C114-$E114))</f>
        <v/>
      </c>
      <c r="G114" s="50" t="str">
        <f>IF($A114="","",$D114+$E114+Simulador!$B$15)</f>
        <v/>
      </c>
    </row>
    <row r="115" spans="1:7" x14ac:dyDescent="0.3">
      <c r="A115" s="48" t="str">
        <f>IF(ROW()-2&lt;=Simulador!$B$13,ROW()-2,"")</f>
        <v/>
      </c>
      <c r="B115" s="49" t="str">
        <f>IF($A115="","",EDATE(Simulador!$B$10,$A115))</f>
        <v/>
      </c>
      <c r="C115" s="50" t="str">
        <f>IF($A115="","",IF($A115=1,Simulador!$B$11,$F114))</f>
        <v/>
      </c>
      <c r="D115" s="50" t="str">
        <f>IF($A115="","",$C115*Simulador!$B$18)</f>
        <v/>
      </c>
      <c r="E115" s="50" t="str">
        <f>IF($A115="","",MIN(Simulador!$B$19-$D115,$C115))</f>
        <v/>
      </c>
      <c r="F115" s="50" t="str">
        <f>IF($A115="","",MAX(0,$C115-$E115))</f>
        <v/>
      </c>
      <c r="G115" s="50" t="str">
        <f>IF($A115="","",$D115+$E115+Simulador!$B$15)</f>
        <v/>
      </c>
    </row>
    <row r="116" spans="1:7" x14ac:dyDescent="0.3">
      <c r="A116" s="48" t="str">
        <f>IF(ROW()-2&lt;=Simulador!$B$13,ROW()-2,"")</f>
        <v/>
      </c>
      <c r="B116" s="49" t="str">
        <f>IF($A116="","",EDATE(Simulador!$B$10,$A116))</f>
        <v/>
      </c>
      <c r="C116" s="50" t="str">
        <f>IF($A116="","",IF($A116=1,Simulador!$B$11,$F115))</f>
        <v/>
      </c>
      <c r="D116" s="50" t="str">
        <f>IF($A116="","",$C116*Simulador!$B$18)</f>
        <v/>
      </c>
      <c r="E116" s="50" t="str">
        <f>IF($A116="","",MIN(Simulador!$B$19-$D116,$C116))</f>
        <v/>
      </c>
      <c r="F116" s="50" t="str">
        <f>IF($A116="","",MAX(0,$C116-$E116))</f>
        <v/>
      </c>
      <c r="G116" s="50" t="str">
        <f>IF($A116="","",$D116+$E116+Simulador!$B$15)</f>
        <v/>
      </c>
    </row>
    <row r="117" spans="1:7" x14ac:dyDescent="0.3">
      <c r="A117" s="48" t="str">
        <f>IF(ROW()-2&lt;=Simulador!$B$13,ROW()-2,"")</f>
        <v/>
      </c>
      <c r="B117" s="49" t="str">
        <f>IF($A117="","",EDATE(Simulador!$B$10,$A117))</f>
        <v/>
      </c>
      <c r="C117" s="50" t="str">
        <f>IF($A117="","",IF($A117=1,Simulador!$B$11,$F116))</f>
        <v/>
      </c>
      <c r="D117" s="50" t="str">
        <f>IF($A117="","",$C117*Simulador!$B$18)</f>
        <v/>
      </c>
      <c r="E117" s="50" t="str">
        <f>IF($A117="","",MIN(Simulador!$B$19-$D117,$C117))</f>
        <v/>
      </c>
      <c r="F117" s="50" t="str">
        <f>IF($A117="","",MAX(0,$C117-$E117))</f>
        <v/>
      </c>
      <c r="G117" s="50" t="str">
        <f>IF($A117="","",$D117+$E117+Simulador!$B$15)</f>
        <v/>
      </c>
    </row>
    <row r="118" spans="1:7" x14ac:dyDescent="0.3">
      <c r="A118" s="48" t="str">
        <f>IF(ROW()-2&lt;=Simulador!$B$13,ROW()-2,"")</f>
        <v/>
      </c>
      <c r="B118" s="49" t="str">
        <f>IF($A118="","",EDATE(Simulador!$B$10,$A118))</f>
        <v/>
      </c>
      <c r="C118" s="50" t="str">
        <f>IF($A118="","",IF($A118=1,Simulador!$B$11,$F117))</f>
        <v/>
      </c>
      <c r="D118" s="50" t="str">
        <f>IF($A118="","",$C118*Simulador!$B$18)</f>
        <v/>
      </c>
      <c r="E118" s="50" t="str">
        <f>IF($A118="","",MIN(Simulador!$B$19-$D118,$C118))</f>
        <v/>
      </c>
      <c r="F118" s="50" t="str">
        <f>IF($A118="","",MAX(0,$C118-$E118))</f>
        <v/>
      </c>
      <c r="G118" s="50" t="str">
        <f>IF($A118="","",$D118+$E118+Simulador!$B$15)</f>
        <v/>
      </c>
    </row>
    <row r="119" spans="1:7" x14ac:dyDescent="0.3">
      <c r="A119" s="48" t="str">
        <f>IF(ROW()-2&lt;=Simulador!$B$13,ROW()-2,"")</f>
        <v/>
      </c>
      <c r="B119" s="49" t="str">
        <f>IF($A119="","",EDATE(Simulador!$B$10,$A119))</f>
        <v/>
      </c>
      <c r="C119" s="50" t="str">
        <f>IF($A119="","",IF($A119=1,Simulador!$B$11,$F118))</f>
        <v/>
      </c>
      <c r="D119" s="50" t="str">
        <f>IF($A119="","",$C119*Simulador!$B$18)</f>
        <v/>
      </c>
      <c r="E119" s="50" t="str">
        <f>IF($A119="","",MIN(Simulador!$B$19-$D119,$C119))</f>
        <v/>
      </c>
      <c r="F119" s="50" t="str">
        <f>IF($A119="","",MAX(0,$C119-$E119))</f>
        <v/>
      </c>
      <c r="G119" s="50" t="str">
        <f>IF($A119="","",$D119+$E119+Simulador!$B$15)</f>
        <v/>
      </c>
    </row>
    <row r="120" spans="1:7" x14ac:dyDescent="0.3">
      <c r="A120" s="48" t="str">
        <f>IF(ROW()-2&lt;=Simulador!$B$13,ROW()-2,"")</f>
        <v/>
      </c>
      <c r="B120" s="49" t="str">
        <f>IF($A120="","",EDATE(Simulador!$B$10,$A120))</f>
        <v/>
      </c>
      <c r="C120" s="50" t="str">
        <f>IF($A120="","",IF($A120=1,Simulador!$B$11,$F119))</f>
        <v/>
      </c>
      <c r="D120" s="50" t="str">
        <f>IF($A120="","",$C120*Simulador!$B$18)</f>
        <v/>
      </c>
      <c r="E120" s="50" t="str">
        <f>IF($A120="","",MIN(Simulador!$B$19-$D120,$C120))</f>
        <v/>
      </c>
      <c r="F120" s="50" t="str">
        <f>IF($A120="","",MAX(0,$C120-$E120))</f>
        <v/>
      </c>
      <c r="G120" s="50" t="str">
        <f>IF($A120="","",$D120+$E120+Simulador!$B$15)</f>
        <v/>
      </c>
    </row>
    <row r="121" spans="1:7" x14ac:dyDescent="0.3">
      <c r="A121" s="48" t="str">
        <f>IF(ROW()-2&lt;=Simulador!$B$13,ROW()-2,"")</f>
        <v/>
      </c>
      <c r="B121" s="49" t="str">
        <f>IF($A121="","",EDATE(Simulador!$B$10,$A121))</f>
        <v/>
      </c>
      <c r="C121" s="50" t="str">
        <f>IF($A121="","",IF($A121=1,Simulador!$B$11,$F120))</f>
        <v/>
      </c>
      <c r="D121" s="50" t="str">
        <f>IF($A121="","",$C121*Simulador!$B$18)</f>
        <v/>
      </c>
      <c r="E121" s="50" t="str">
        <f>IF($A121="","",MIN(Simulador!$B$19-$D121,$C121))</f>
        <v/>
      </c>
      <c r="F121" s="50" t="str">
        <f>IF($A121="","",MAX(0,$C121-$E121))</f>
        <v/>
      </c>
      <c r="G121" s="50" t="str">
        <f>IF($A121="","",$D121+$E121+Simulador!$B$15)</f>
        <v/>
      </c>
    </row>
    <row r="122" spans="1:7" x14ac:dyDescent="0.3">
      <c r="A122" s="48" t="str">
        <f>IF(ROW()-2&lt;=Simulador!$B$13,ROW()-2,"")</f>
        <v/>
      </c>
      <c r="B122" s="49" t="str">
        <f>IF($A122="","",EDATE(Simulador!$B$10,$A122))</f>
        <v/>
      </c>
      <c r="C122" s="50" t="str">
        <f>IF($A122="","",IF($A122=1,Simulador!$B$11,$F121))</f>
        <v/>
      </c>
      <c r="D122" s="50" t="str">
        <f>IF($A122="","",$C122*Simulador!$B$18)</f>
        <v/>
      </c>
      <c r="E122" s="50" t="str">
        <f>IF($A122="","",MIN(Simulador!$B$19-$D122,$C122))</f>
        <v/>
      </c>
      <c r="F122" s="50" t="str">
        <f>IF($A122="","",MAX(0,$C122-$E122))</f>
        <v/>
      </c>
      <c r="G122" s="50" t="str">
        <f>IF($A122="","",$D122+$E122+Simulador!$B$15)</f>
        <v/>
      </c>
    </row>
    <row r="123" spans="1:7" x14ac:dyDescent="0.3">
      <c r="A123" s="48" t="str">
        <f>IF(ROW()-2&lt;=Simulador!$B$13,ROW()-2,"")</f>
        <v/>
      </c>
      <c r="B123" s="49" t="str">
        <f>IF($A123="","",EDATE(Simulador!$B$10,$A123))</f>
        <v/>
      </c>
      <c r="C123" s="50" t="str">
        <f>IF($A123="","",IF($A123=1,Simulador!$B$11,$F122))</f>
        <v/>
      </c>
      <c r="D123" s="50" t="str">
        <f>IF($A123="","",$C123*Simulador!$B$18)</f>
        <v/>
      </c>
      <c r="E123" s="50" t="str">
        <f>IF($A123="","",MIN(Simulador!$B$19-$D123,$C123))</f>
        <v/>
      </c>
      <c r="F123" s="50" t="str">
        <f>IF($A123="","",MAX(0,$C123-$E123))</f>
        <v/>
      </c>
      <c r="G123" s="50" t="str">
        <f>IF($A123="","",$D123+$E123+Simulador!$B$15)</f>
        <v/>
      </c>
    </row>
    <row r="124" spans="1:7" x14ac:dyDescent="0.3">
      <c r="A124" s="48" t="str">
        <f>IF(ROW()-2&lt;=Simulador!$B$13,ROW()-2,"")</f>
        <v/>
      </c>
      <c r="B124" s="49" t="str">
        <f>IF($A124="","",EDATE(Simulador!$B$10,$A124))</f>
        <v/>
      </c>
      <c r="C124" s="50" t="str">
        <f>IF($A124="","",IF($A124=1,Simulador!$B$11,$F123))</f>
        <v/>
      </c>
      <c r="D124" s="50" t="str">
        <f>IF($A124="","",$C124*Simulador!$B$18)</f>
        <v/>
      </c>
      <c r="E124" s="50" t="str">
        <f>IF($A124="","",MIN(Simulador!$B$19-$D124,$C124))</f>
        <v/>
      </c>
      <c r="F124" s="50" t="str">
        <f>IF($A124="","",MAX(0,$C124-$E124))</f>
        <v/>
      </c>
      <c r="G124" s="50" t="str">
        <f>IF($A124="","",$D124+$E124+Simulador!$B$15)</f>
        <v/>
      </c>
    </row>
    <row r="125" spans="1:7" x14ac:dyDescent="0.3">
      <c r="A125" s="48" t="str">
        <f>IF(ROW()-2&lt;=Simulador!$B$13,ROW()-2,"")</f>
        <v/>
      </c>
      <c r="B125" s="49" t="str">
        <f>IF($A125="","",EDATE(Simulador!$B$10,$A125))</f>
        <v/>
      </c>
      <c r="C125" s="50" t="str">
        <f>IF($A125="","",IF($A125=1,Simulador!$B$11,$F124))</f>
        <v/>
      </c>
      <c r="D125" s="50" t="str">
        <f>IF($A125="","",$C125*Simulador!$B$18)</f>
        <v/>
      </c>
      <c r="E125" s="50" t="str">
        <f>IF($A125="","",MIN(Simulador!$B$19-$D125,$C125))</f>
        <v/>
      </c>
      <c r="F125" s="50" t="str">
        <f>IF($A125="","",MAX(0,$C125-$E125))</f>
        <v/>
      </c>
      <c r="G125" s="50" t="str">
        <f>IF($A125="","",$D125+$E125+Simulador!$B$15)</f>
        <v/>
      </c>
    </row>
    <row r="126" spans="1:7" x14ac:dyDescent="0.3">
      <c r="A126" s="48" t="str">
        <f>IF(ROW()-2&lt;=Simulador!$B$13,ROW()-2,"")</f>
        <v/>
      </c>
      <c r="B126" s="49" t="str">
        <f>IF($A126="","",EDATE(Simulador!$B$10,$A126))</f>
        <v/>
      </c>
      <c r="C126" s="50" t="str">
        <f>IF($A126="","",IF($A126=1,Simulador!$B$11,$F125))</f>
        <v/>
      </c>
      <c r="D126" s="50" t="str">
        <f>IF($A126="","",$C126*Simulador!$B$18)</f>
        <v/>
      </c>
      <c r="E126" s="50" t="str">
        <f>IF($A126="","",MIN(Simulador!$B$19-$D126,$C126))</f>
        <v/>
      </c>
      <c r="F126" s="50" t="str">
        <f>IF($A126="","",MAX(0,$C126-$E126))</f>
        <v/>
      </c>
      <c r="G126" s="50" t="str">
        <f>IF($A126="","",$D126+$E126+Simulador!$B$15)</f>
        <v/>
      </c>
    </row>
    <row r="127" spans="1:7" x14ac:dyDescent="0.3">
      <c r="A127" s="48" t="str">
        <f>IF(ROW()-2&lt;=Simulador!$B$13,ROW()-2,"")</f>
        <v/>
      </c>
      <c r="B127" s="49" t="str">
        <f>IF($A127="","",EDATE(Simulador!$B$10,$A127))</f>
        <v/>
      </c>
      <c r="C127" s="50" t="str">
        <f>IF($A127="","",IF($A127=1,Simulador!$B$11,$F126))</f>
        <v/>
      </c>
      <c r="D127" s="50" t="str">
        <f>IF($A127="","",$C127*Simulador!$B$18)</f>
        <v/>
      </c>
      <c r="E127" s="50" t="str">
        <f>IF($A127="","",MIN(Simulador!$B$19-$D127,$C127))</f>
        <v/>
      </c>
      <c r="F127" s="50" t="str">
        <f>IF($A127="","",MAX(0,$C127-$E127))</f>
        <v/>
      </c>
      <c r="G127" s="50" t="str">
        <f>IF($A127="","",$D127+$E127+Simulador!$B$15)</f>
        <v/>
      </c>
    </row>
    <row r="128" spans="1:7" x14ac:dyDescent="0.3">
      <c r="A128" s="48" t="str">
        <f>IF(ROW()-2&lt;=Simulador!$B$13,ROW()-2,"")</f>
        <v/>
      </c>
      <c r="B128" s="49" t="str">
        <f>IF($A128="","",EDATE(Simulador!$B$10,$A128))</f>
        <v/>
      </c>
      <c r="C128" s="50" t="str">
        <f>IF($A128="","",IF($A128=1,Simulador!$B$11,$F127))</f>
        <v/>
      </c>
      <c r="D128" s="50" t="str">
        <f>IF($A128="","",$C128*Simulador!$B$18)</f>
        <v/>
      </c>
      <c r="E128" s="50" t="str">
        <f>IF($A128="","",MIN(Simulador!$B$19-$D128,$C128))</f>
        <v/>
      </c>
      <c r="F128" s="50" t="str">
        <f>IF($A128="","",MAX(0,$C128-$E128))</f>
        <v/>
      </c>
      <c r="G128" s="50" t="str">
        <f>IF($A128="","",$D128+$E128+Simulador!$B$15)</f>
        <v/>
      </c>
    </row>
    <row r="129" spans="1:7" x14ac:dyDescent="0.3">
      <c r="A129" s="48" t="str">
        <f>IF(ROW()-2&lt;=Simulador!$B$13,ROW()-2,"")</f>
        <v/>
      </c>
      <c r="B129" s="49" t="str">
        <f>IF($A129="","",EDATE(Simulador!$B$10,$A129))</f>
        <v/>
      </c>
      <c r="C129" s="50" t="str">
        <f>IF($A129="","",IF($A129=1,Simulador!$B$11,$F128))</f>
        <v/>
      </c>
      <c r="D129" s="50" t="str">
        <f>IF($A129="","",$C129*Simulador!$B$18)</f>
        <v/>
      </c>
      <c r="E129" s="50" t="str">
        <f>IF($A129="","",MIN(Simulador!$B$19-$D129,$C129))</f>
        <v/>
      </c>
      <c r="F129" s="50" t="str">
        <f>IF($A129="","",MAX(0,$C129-$E129))</f>
        <v/>
      </c>
      <c r="G129" s="50" t="str">
        <f>IF($A129="","",$D129+$E129+Simulador!$B$15)</f>
        <v/>
      </c>
    </row>
    <row r="130" spans="1:7" x14ac:dyDescent="0.3">
      <c r="A130" s="48" t="str">
        <f>IF(ROW()-2&lt;=Simulador!$B$13,ROW()-2,"")</f>
        <v/>
      </c>
      <c r="B130" s="49" t="str">
        <f>IF($A130="","",EDATE(Simulador!$B$10,$A130))</f>
        <v/>
      </c>
      <c r="C130" s="50" t="str">
        <f>IF($A130="","",IF($A130=1,Simulador!$B$11,$F129))</f>
        <v/>
      </c>
      <c r="D130" s="50" t="str">
        <f>IF($A130="","",$C130*Simulador!$B$18)</f>
        <v/>
      </c>
      <c r="E130" s="50" t="str">
        <f>IF($A130="","",MIN(Simulador!$B$19-$D130,$C130))</f>
        <v/>
      </c>
      <c r="F130" s="50" t="str">
        <f>IF($A130="","",MAX(0,$C130-$E130))</f>
        <v/>
      </c>
      <c r="G130" s="50" t="str">
        <f>IF($A130="","",$D130+$E130+Simulador!$B$15)</f>
        <v/>
      </c>
    </row>
    <row r="131" spans="1:7" x14ac:dyDescent="0.3">
      <c r="A131" s="48" t="str">
        <f>IF(ROW()-2&lt;=Simulador!$B$13,ROW()-2,"")</f>
        <v/>
      </c>
      <c r="B131" s="49" t="str">
        <f>IF($A131="","",EDATE(Simulador!$B$10,$A131))</f>
        <v/>
      </c>
      <c r="C131" s="50" t="str">
        <f>IF($A131="","",IF($A131=1,Simulador!$B$11,$F130))</f>
        <v/>
      </c>
      <c r="D131" s="50" t="str">
        <f>IF($A131="","",$C131*Simulador!$B$18)</f>
        <v/>
      </c>
      <c r="E131" s="50" t="str">
        <f>IF($A131="","",MIN(Simulador!$B$19-$D131,$C131))</f>
        <v/>
      </c>
      <c r="F131" s="50" t="str">
        <f>IF($A131="","",MAX(0,$C131-$E131))</f>
        <v/>
      </c>
      <c r="G131" s="50" t="str">
        <f>IF($A131="","",$D131+$E131+Simulador!$B$15)</f>
        <v/>
      </c>
    </row>
    <row r="132" spans="1:7" x14ac:dyDescent="0.3">
      <c r="A132" s="48" t="str">
        <f>IF(ROW()-2&lt;=Simulador!$B$13,ROW()-2,"")</f>
        <v/>
      </c>
      <c r="B132" s="49" t="str">
        <f>IF($A132="","",EDATE(Simulador!$B$10,$A132))</f>
        <v/>
      </c>
      <c r="C132" s="50" t="str">
        <f>IF($A132="","",IF($A132=1,Simulador!$B$11,$F131))</f>
        <v/>
      </c>
      <c r="D132" s="50" t="str">
        <f>IF($A132="","",$C132*Simulador!$B$18)</f>
        <v/>
      </c>
      <c r="E132" s="50" t="str">
        <f>IF($A132="","",MIN(Simulador!$B$19-$D132,$C132))</f>
        <v/>
      </c>
      <c r="F132" s="50" t="str">
        <f>IF($A132="","",MAX(0,$C132-$E132))</f>
        <v/>
      </c>
      <c r="G132" s="50" t="str">
        <f>IF($A132="","",$D132+$E132+Simulador!$B$15)</f>
        <v/>
      </c>
    </row>
    <row r="133" spans="1:7" x14ac:dyDescent="0.3">
      <c r="A133" s="48" t="str">
        <f>IF(ROW()-2&lt;=Simulador!$B$13,ROW()-2,"")</f>
        <v/>
      </c>
      <c r="B133" s="49" t="str">
        <f>IF($A133="","",EDATE(Simulador!$B$10,$A133))</f>
        <v/>
      </c>
      <c r="C133" s="50" t="str">
        <f>IF($A133="","",IF($A133=1,Simulador!$B$11,$F132))</f>
        <v/>
      </c>
      <c r="D133" s="50" t="str">
        <f>IF($A133="","",$C133*Simulador!$B$18)</f>
        <v/>
      </c>
      <c r="E133" s="50" t="str">
        <f>IF($A133="","",MIN(Simulador!$B$19-$D133,$C133))</f>
        <v/>
      </c>
      <c r="F133" s="50" t="str">
        <f>IF($A133="","",MAX(0,$C133-$E133))</f>
        <v/>
      </c>
      <c r="G133" s="50" t="str">
        <f>IF($A133="","",$D133+$E133+Simulador!$B$15)</f>
        <v/>
      </c>
    </row>
    <row r="134" spans="1:7" x14ac:dyDescent="0.3">
      <c r="A134" s="48" t="str">
        <f>IF(ROW()-2&lt;=Simulador!$B$13,ROW()-2,"")</f>
        <v/>
      </c>
      <c r="B134" s="49" t="str">
        <f>IF($A134="","",EDATE(Simulador!$B$10,$A134))</f>
        <v/>
      </c>
      <c r="C134" s="50" t="str">
        <f>IF($A134="","",IF($A134=1,Simulador!$B$11,$F133))</f>
        <v/>
      </c>
      <c r="D134" s="50" t="str">
        <f>IF($A134="","",$C134*Simulador!$B$18)</f>
        <v/>
      </c>
      <c r="E134" s="50" t="str">
        <f>IF($A134="","",MIN(Simulador!$B$19-$D134,$C134))</f>
        <v/>
      </c>
      <c r="F134" s="50" t="str">
        <f>IF($A134="","",MAX(0,$C134-$E134))</f>
        <v/>
      </c>
      <c r="G134" s="50" t="str">
        <f>IF($A134="","",$D134+$E134+Simulador!$B$15)</f>
        <v/>
      </c>
    </row>
    <row r="135" spans="1:7" x14ac:dyDescent="0.3">
      <c r="A135" s="48" t="str">
        <f>IF(ROW()-2&lt;=Simulador!$B$13,ROW()-2,"")</f>
        <v/>
      </c>
      <c r="B135" s="49" t="str">
        <f>IF($A135="","",EDATE(Simulador!$B$10,$A135))</f>
        <v/>
      </c>
      <c r="C135" s="50" t="str">
        <f>IF($A135="","",IF($A135=1,Simulador!$B$11,$F134))</f>
        <v/>
      </c>
      <c r="D135" s="50" t="str">
        <f>IF($A135="","",$C135*Simulador!$B$18)</f>
        <v/>
      </c>
      <c r="E135" s="50" t="str">
        <f>IF($A135="","",MIN(Simulador!$B$19-$D135,$C135))</f>
        <v/>
      </c>
      <c r="F135" s="50" t="str">
        <f>IF($A135="","",MAX(0,$C135-$E135))</f>
        <v/>
      </c>
      <c r="G135" s="50" t="str">
        <f>IF($A135="","",$D135+$E135+Simulador!$B$15)</f>
        <v/>
      </c>
    </row>
    <row r="136" spans="1:7" x14ac:dyDescent="0.3">
      <c r="A136" s="48" t="str">
        <f>IF(ROW()-2&lt;=Simulador!$B$13,ROW()-2,"")</f>
        <v/>
      </c>
      <c r="B136" s="49" t="str">
        <f>IF($A136="","",EDATE(Simulador!$B$10,$A136))</f>
        <v/>
      </c>
      <c r="C136" s="50" t="str">
        <f>IF($A136="","",IF($A136=1,Simulador!$B$11,$F135))</f>
        <v/>
      </c>
      <c r="D136" s="50" t="str">
        <f>IF($A136="","",$C136*Simulador!$B$18)</f>
        <v/>
      </c>
      <c r="E136" s="50" t="str">
        <f>IF($A136="","",MIN(Simulador!$B$19-$D136,$C136))</f>
        <v/>
      </c>
      <c r="F136" s="50" t="str">
        <f>IF($A136="","",MAX(0,$C136-$E136))</f>
        <v/>
      </c>
      <c r="G136" s="50" t="str">
        <f>IF($A136="","",$D136+$E136+Simulador!$B$15)</f>
        <v/>
      </c>
    </row>
    <row r="137" spans="1:7" x14ac:dyDescent="0.3">
      <c r="A137" s="48" t="str">
        <f>IF(ROW()-2&lt;=Simulador!$B$13,ROW()-2,"")</f>
        <v/>
      </c>
      <c r="B137" s="49" t="str">
        <f>IF($A137="","",EDATE(Simulador!$B$10,$A137))</f>
        <v/>
      </c>
      <c r="C137" s="50" t="str">
        <f>IF($A137="","",IF($A137=1,Simulador!$B$11,$F136))</f>
        <v/>
      </c>
      <c r="D137" s="50" t="str">
        <f>IF($A137="","",$C137*Simulador!$B$18)</f>
        <v/>
      </c>
      <c r="E137" s="50" t="str">
        <f>IF($A137="","",MIN(Simulador!$B$19-$D137,$C137))</f>
        <v/>
      </c>
      <c r="F137" s="50" t="str">
        <f>IF($A137="","",MAX(0,$C137-$E137))</f>
        <v/>
      </c>
      <c r="G137" s="50" t="str">
        <f>IF($A137="","",$D137+$E137+Simulador!$B$15)</f>
        <v/>
      </c>
    </row>
    <row r="138" spans="1:7" x14ac:dyDescent="0.3">
      <c r="A138" s="48" t="str">
        <f>IF(ROW()-2&lt;=Simulador!$B$13,ROW()-2,"")</f>
        <v/>
      </c>
      <c r="B138" s="49" t="str">
        <f>IF($A138="","",EDATE(Simulador!$B$10,$A138))</f>
        <v/>
      </c>
      <c r="C138" s="50" t="str">
        <f>IF($A138="","",IF($A138=1,Simulador!$B$11,$F137))</f>
        <v/>
      </c>
      <c r="D138" s="50" t="str">
        <f>IF($A138="","",$C138*Simulador!$B$18)</f>
        <v/>
      </c>
      <c r="E138" s="50" t="str">
        <f>IF($A138="","",MIN(Simulador!$B$19-$D138,$C138))</f>
        <v/>
      </c>
      <c r="F138" s="50" t="str">
        <f>IF($A138="","",MAX(0,$C138-$E138))</f>
        <v/>
      </c>
      <c r="G138" s="50" t="str">
        <f>IF($A138="","",$D138+$E138+Simulador!$B$15)</f>
        <v/>
      </c>
    </row>
    <row r="139" spans="1:7" x14ac:dyDescent="0.3">
      <c r="A139" s="48" t="str">
        <f>IF(ROW()-2&lt;=Simulador!$B$13,ROW()-2,"")</f>
        <v/>
      </c>
      <c r="B139" s="49" t="str">
        <f>IF($A139="","",EDATE(Simulador!$B$10,$A139))</f>
        <v/>
      </c>
      <c r="C139" s="50" t="str">
        <f>IF($A139="","",IF($A139=1,Simulador!$B$11,$F138))</f>
        <v/>
      </c>
      <c r="D139" s="50" t="str">
        <f>IF($A139="","",$C139*Simulador!$B$18)</f>
        <v/>
      </c>
      <c r="E139" s="50" t="str">
        <f>IF($A139="","",MIN(Simulador!$B$19-$D139,$C139))</f>
        <v/>
      </c>
      <c r="F139" s="50" t="str">
        <f>IF($A139="","",MAX(0,$C139-$E139))</f>
        <v/>
      </c>
      <c r="G139" s="50" t="str">
        <f>IF($A139="","",$D139+$E139+Simulador!$B$15)</f>
        <v/>
      </c>
    </row>
    <row r="140" spans="1:7" x14ac:dyDescent="0.3">
      <c r="A140" s="48" t="str">
        <f>IF(ROW()-2&lt;=Simulador!$B$13,ROW()-2,"")</f>
        <v/>
      </c>
      <c r="B140" s="49" t="str">
        <f>IF($A140="","",EDATE(Simulador!$B$10,$A140))</f>
        <v/>
      </c>
      <c r="C140" s="50" t="str">
        <f>IF($A140="","",IF($A140=1,Simulador!$B$11,$F139))</f>
        <v/>
      </c>
      <c r="D140" s="50" t="str">
        <f>IF($A140="","",$C140*Simulador!$B$18)</f>
        <v/>
      </c>
      <c r="E140" s="50" t="str">
        <f>IF($A140="","",MIN(Simulador!$B$19-$D140,$C140))</f>
        <v/>
      </c>
      <c r="F140" s="50" t="str">
        <f>IF($A140="","",MAX(0,$C140-$E140))</f>
        <v/>
      </c>
      <c r="G140" s="50" t="str">
        <f>IF($A140="","",$D140+$E140+Simulador!$B$15)</f>
        <v/>
      </c>
    </row>
    <row r="141" spans="1:7" x14ac:dyDescent="0.3">
      <c r="A141" s="48" t="str">
        <f>IF(ROW()-2&lt;=Simulador!$B$13,ROW()-2,"")</f>
        <v/>
      </c>
      <c r="B141" s="49" t="str">
        <f>IF($A141="","",EDATE(Simulador!$B$10,$A141))</f>
        <v/>
      </c>
      <c r="C141" s="50" t="str">
        <f>IF($A141="","",IF($A141=1,Simulador!$B$11,$F140))</f>
        <v/>
      </c>
      <c r="D141" s="50" t="str">
        <f>IF($A141="","",$C141*Simulador!$B$18)</f>
        <v/>
      </c>
      <c r="E141" s="50" t="str">
        <f>IF($A141="","",MIN(Simulador!$B$19-$D141,$C141))</f>
        <v/>
      </c>
      <c r="F141" s="50" t="str">
        <f>IF($A141="","",MAX(0,$C141-$E141))</f>
        <v/>
      </c>
      <c r="G141" s="50" t="str">
        <f>IF($A141="","",$D141+$E141+Simulador!$B$15)</f>
        <v/>
      </c>
    </row>
    <row r="142" spans="1:7" x14ac:dyDescent="0.3">
      <c r="A142" s="48" t="str">
        <f>IF(ROW()-2&lt;=Simulador!$B$13,ROW()-2,"")</f>
        <v/>
      </c>
      <c r="B142" s="49" t="str">
        <f>IF($A142="","",EDATE(Simulador!$B$10,$A142))</f>
        <v/>
      </c>
      <c r="C142" s="50" t="str">
        <f>IF($A142="","",IF($A142=1,Simulador!$B$11,$F141))</f>
        <v/>
      </c>
      <c r="D142" s="50" t="str">
        <f>IF($A142="","",$C142*Simulador!$B$18)</f>
        <v/>
      </c>
      <c r="E142" s="50" t="str">
        <f>IF($A142="","",MIN(Simulador!$B$19-$D142,$C142))</f>
        <v/>
      </c>
      <c r="F142" s="50" t="str">
        <f>IF($A142="","",MAX(0,$C142-$E142))</f>
        <v/>
      </c>
      <c r="G142" s="50" t="str">
        <f>IF($A142="","",$D142+$E142+Simulador!$B$15)</f>
        <v/>
      </c>
    </row>
    <row r="143" spans="1:7" x14ac:dyDescent="0.3">
      <c r="A143" s="48" t="str">
        <f>IF(ROW()-2&lt;=Simulador!$B$13,ROW()-2,"")</f>
        <v/>
      </c>
      <c r="B143" s="49" t="str">
        <f>IF($A143="","",EDATE(Simulador!$B$10,$A143))</f>
        <v/>
      </c>
      <c r="C143" s="50" t="str">
        <f>IF($A143="","",IF($A143=1,Simulador!$B$11,$F142))</f>
        <v/>
      </c>
      <c r="D143" s="50" t="str">
        <f>IF($A143="","",$C143*Simulador!$B$18)</f>
        <v/>
      </c>
      <c r="E143" s="50" t="str">
        <f>IF($A143="","",MIN(Simulador!$B$19-$D143,$C143))</f>
        <v/>
      </c>
      <c r="F143" s="50" t="str">
        <f>IF($A143="","",MAX(0,$C143-$E143))</f>
        <v/>
      </c>
      <c r="G143" s="50" t="str">
        <f>IF($A143="","",$D143+$E143+Simulador!$B$15)</f>
        <v/>
      </c>
    </row>
    <row r="144" spans="1:7" x14ac:dyDescent="0.3">
      <c r="A144" s="48" t="str">
        <f>IF(ROW()-2&lt;=Simulador!$B$13,ROW()-2,"")</f>
        <v/>
      </c>
      <c r="B144" s="49" t="str">
        <f>IF($A144="","",EDATE(Simulador!$B$10,$A144))</f>
        <v/>
      </c>
      <c r="C144" s="50" t="str">
        <f>IF($A144="","",IF($A144=1,Simulador!$B$11,$F143))</f>
        <v/>
      </c>
      <c r="D144" s="50" t="str">
        <f>IF($A144="","",$C144*Simulador!$B$18)</f>
        <v/>
      </c>
      <c r="E144" s="50" t="str">
        <f>IF($A144="","",MIN(Simulador!$B$19-$D144,$C144))</f>
        <v/>
      </c>
      <c r="F144" s="50" t="str">
        <f>IF($A144="","",MAX(0,$C144-$E144))</f>
        <v/>
      </c>
      <c r="G144" s="50" t="str">
        <f>IF($A144="","",$D144+$E144+Simulador!$B$15)</f>
        <v/>
      </c>
    </row>
    <row r="145" spans="1:7" x14ac:dyDescent="0.3">
      <c r="A145" s="48" t="str">
        <f>IF(ROW()-2&lt;=Simulador!$B$13,ROW()-2,"")</f>
        <v/>
      </c>
      <c r="B145" s="49" t="str">
        <f>IF($A145="","",EDATE(Simulador!$B$10,$A145))</f>
        <v/>
      </c>
      <c r="C145" s="50" t="str">
        <f>IF($A145="","",IF($A145=1,Simulador!$B$11,$F144))</f>
        <v/>
      </c>
      <c r="D145" s="50" t="str">
        <f>IF($A145="","",$C145*Simulador!$B$18)</f>
        <v/>
      </c>
      <c r="E145" s="50" t="str">
        <f>IF($A145="","",MIN(Simulador!$B$19-$D145,$C145))</f>
        <v/>
      </c>
      <c r="F145" s="50" t="str">
        <f>IF($A145="","",MAX(0,$C145-$E145))</f>
        <v/>
      </c>
      <c r="G145" s="50" t="str">
        <f>IF($A145="","",$D145+$E145+Simulador!$B$15)</f>
        <v/>
      </c>
    </row>
    <row r="146" spans="1:7" x14ac:dyDescent="0.3">
      <c r="A146" s="48" t="str">
        <f>IF(ROW()-2&lt;=Simulador!$B$13,ROW()-2,"")</f>
        <v/>
      </c>
      <c r="B146" s="49" t="str">
        <f>IF($A146="","",EDATE(Simulador!$B$10,$A146))</f>
        <v/>
      </c>
      <c r="C146" s="50" t="str">
        <f>IF($A146="","",IF($A146=1,Simulador!$B$11,$F145))</f>
        <v/>
      </c>
      <c r="D146" s="50" t="str">
        <f>IF($A146="","",$C146*Simulador!$B$18)</f>
        <v/>
      </c>
      <c r="E146" s="50" t="str">
        <f>IF($A146="","",MIN(Simulador!$B$19-$D146,$C146))</f>
        <v/>
      </c>
      <c r="F146" s="50" t="str">
        <f>IF($A146="","",MAX(0,$C146-$E146))</f>
        <v/>
      </c>
      <c r="G146" s="50" t="str">
        <f>IF($A146="","",$D146+$E146+Simulador!$B$15)</f>
        <v/>
      </c>
    </row>
    <row r="147" spans="1:7" x14ac:dyDescent="0.3">
      <c r="A147" s="48" t="str">
        <f>IF(ROW()-2&lt;=Simulador!$B$13,ROW()-2,"")</f>
        <v/>
      </c>
      <c r="B147" s="49" t="str">
        <f>IF($A147="","",EDATE(Simulador!$B$10,$A147))</f>
        <v/>
      </c>
      <c r="C147" s="50" t="str">
        <f>IF($A147="","",IF($A147=1,Simulador!$B$11,$F146))</f>
        <v/>
      </c>
      <c r="D147" s="50" t="str">
        <f>IF($A147="","",$C147*Simulador!$B$18)</f>
        <v/>
      </c>
      <c r="E147" s="50" t="str">
        <f>IF($A147="","",MIN(Simulador!$B$19-$D147,$C147))</f>
        <v/>
      </c>
      <c r="F147" s="50" t="str">
        <f>IF($A147="","",MAX(0,$C147-$E147))</f>
        <v/>
      </c>
      <c r="G147" s="50" t="str">
        <f>IF($A147="","",$D147+$E147+Simulador!$B$15)</f>
        <v/>
      </c>
    </row>
    <row r="148" spans="1:7" x14ac:dyDescent="0.3">
      <c r="A148" s="48" t="str">
        <f>IF(ROW()-2&lt;=Simulador!$B$13,ROW()-2,"")</f>
        <v/>
      </c>
      <c r="B148" s="49" t="str">
        <f>IF($A148="","",EDATE(Simulador!$B$10,$A148))</f>
        <v/>
      </c>
      <c r="C148" s="50" t="str">
        <f>IF($A148="","",IF($A148=1,Simulador!$B$11,$F147))</f>
        <v/>
      </c>
      <c r="D148" s="50" t="str">
        <f>IF($A148="","",$C148*Simulador!$B$18)</f>
        <v/>
      </c>
      <c r="E148" s="50" t="str">
        <f>IF($A148="","",MIN(Simulador!$B$19-$D148,$C148))</f>
        <v/>
      </c>
      <c r="F148" s="50" t="str">
        <f>IF($A148="","",MAX(0,$C148-$E148))</f>
        <v/>
      </c>
      <c r="G148" s="50" t="str">
        <f>IF($A148="","",$D148+$E148+Simulador!$B$15)</f>
        <v/>
      </c>
    </row>
    <row r="149" spans="1:7" x14ac:dyDescent="0.3">
      <c r="A149" s="48" t="str">
        <f>IF(ROW()-2&lt;=Simulador!$B$13,ROW()-2,"")</f>
        <v/>
      </c>
      <c r="B149" s="49" t="str">
        <f>IF($A149="","",EDATE(Simulador!$B$10,$A149))</f>
        <v/>
      </c>
      <c r="C149" s="50" t="str">
        <f>IF($A149="","",IF($A149=1,Simulador!$B$11,$F148))</f>
        <v/>
      </c>
      <c r="D149" s="50" t="str">
        <f>IF($A149="","",$C149*Simulador!$B$18)</f>
        <v/>
      </c>
      <c r="E149" s="50" t="str">
        <f>IF($A149="","",MIN(Simulador!$B$19-$D149,$C149))</f>
        <v/>
      </c>
      <c r="F149" s="50" t="str">
        <f>IF($A149="","",MAX(0,$C149-$E149))</f>
        <v/>
      </c>
      <c r="G149" s="50" t="str">
        <f>IF($A149="","",$D149+$E149+Simulador!$B$15)</f>
        <v/>
      </c>
    </row>
    <row r="150" spans="1:7" x14ac:dyDescent="0.3">
      <c r="A150" s="48" t="str">
        <f>IF(ROW()-2&lt;=Simulador!$B$13,ROW()-2,"")</f>
        <v/>
      </c>
      <c r="B150" s="49" t="str">
        <f>IF($A150="","",EDATE(Simulador!$B$10,$A150))</f>
        <v/>
      </c>
      <c r="C150" s="50" t="str">
        <f>IF($A150="","",IF($A150=1,Simulador!$B$11,$F149))</f>
        <v/>
      </c>
      <c r="D150" s="50" t="str">
        <f>IF($A150="","",$C150*Simulador!$B$18)</f>
        <v/>
      </c>
      <c r="E150" s="50" t="str">
        <f>IF($A150="","",MIN(Simulador!$B$19-$D150,$C150))</f>
        <v/>
      </c>
      <c r="F150" s="50" t="str">
        <f>IF($A150="","",MAX(0,$C150-$E150))</f>
        <v/>
      </c>
      <c r="G150" s="50" t="str">
        <f>IF($A150="","",$D150+$E150+Simulador!$B$15)</f>
        <v/>
      </c>
    </row>
    <row r="151" spans="1:7" x14ac:dyDescent="0.3">
      <c r="A151" s="48" t="str">
        <f>IF(ROW()-2&lt;=Simulador!$B$13,ROW()-2,"")</f>
        <v/>
      </c>
      <c r="B151" s="49" t="str">
        <f>IF($A151="","",EDATE(Simulador!$B$10,$A151))</f>
        <v/>
      </c>
      <c r="C151" s="50" t="str">
        <f>IF($A151="","",IF($A151=1,Simulador!$B$11,$F150))</f>
        <v/>
      </c>
      <c r="D151" s="50" t="str">
        <f>IF($A151="","",$C151*Simulador!$B$18)</f>
        <v/>
      </c>
      <c r="E151" s="50" t="str">
        <f>IF($A151="","",MIN(Simulador!$B$19-$D151,$C151))</f>
        <v/>
      </c>
      <c r="F151" s="50" t="str">
        <f>IF($A151="","",MAX(0,$C151-$E151))</f>
        <v/>
      </c>
      <c r="G151" s="50" t="str">
        <f>IF($A151="","",$D151+$E151+Simulador!$B$15)</f>
        <v/>
      </c>
    </row>
    <row r="152" spans="1:7" x14ac:dyDescent="0.3">
      <c r="A152" s="48" t="str">
        <f>IF(ROW()-2&lt;=Simulador!$B$13,ROW()-2,"")</f>
        <v/>
      </c>
      <c r="B152" s="49" t="str">
        <f>IF($A152="","",EDATE(Simulador!$B$10,$A152))</f>
        <v/>
      </c>
      <c r="C152" s="50" t="str">
        <f>IF($A152="","",IF($A152=1,Simulador!$B$11,$F151))</f>
        <v/>
      </c>
      <c r="D152" s="50" t="str">
        <f>IF($A152="","",$C152*Simulador!$B$18)</f>
        <v/>
      </c>
      <c r="E152" s="50" t="str">
        <f>IF($A152="","",MIN(Simulador!$B$19-$D152,$C152))</f>
        <v/>
      </c>
      <c r="F152" s="50" t="str">
        <f>IF($A152="","",MAX(0,$C152-$E152))</f>
        <v/>
      </c>
      <c r="G152" s="50" t="str">
        <f>IF($A152="","",$D152+$E152+Simulador!$B$15)</f>
        <v/>
      </c>
    </row>
    <row r="153" spans="1:7" x14ac:dyDescent="0.3">
      <c r="A153" s="48" t="str">
        <f>IF(ROW()-2&lt;=Simulador!$B$13,ROW()-2,"")</f>
        <v/>
      </c>
      <c r="B153" s="49" t="str">
        <f>IF($A153="","",EDATE(Simulador!$B$10,$A153))</f>
        <v/>
      </c>
      <c r="C153" s="50" t="str">
        <f>IF($A153="","",IF($A153=1,Simulador!$B$11,$F152))</f>
        <v/>
      </c>
      <c r="D153" s="50" t="str">
        <f>IF($A153="","",$C153*Simulador!$B$18)</f>
        <v/>
      </c>
      <c r="E153" s="50" t="str">
        <f>IF($A153="","",MIN(Simulador!$B$19-$D153,$C153))</f>
        <v/>
      </c>
      <c r="F153" s="50" t="str">
        <f>IF($A153="","",MAX(0,$C153-$E153))</f>
        <v/>
      </c>
      <c r="G153" s="50" t="str">
        <f>IF($A153="","",$D153+$E153+Simulador!$B$15)</f>
        <v/>
      </c>
    </row>
    <row r="154" spans="1:7" x14ac:dyDescent="0.3">
      <c r="A154" s="48" t="str">
        <f>IF(ROW()-2&lt;=Simulador!$B$13,ROW()-2,"")</f>
        <v/>
      </c>
      <c r="B154" s="49" t="str">
        <f>IF($A154="","",EDATE(Simulador!$B$10,$A154))</f>
        <v/>
      </c>
      <c r="C154" s="50" t="str">
        <f>IF($A154="","",IF($A154=1,Simulador!$B$11,$F153))</f>
        <v/>
      </c>
      <c r="D154" s="50" t="str">
        <f>IF($A154="","",$C154*Simulador!$B$18)</f>
        <v/>
      </c>
      <c r="E154" s="50" t="str">
        <f>IF($A154="","",MIN(Simulador!$B$19-$D154,$C154))</f>
        <v/>
      </c>
      <c r="F154" s="50" t="str">
        <f>IF($A154="","",MAX(0,$C154-$E154))</f>
        <v/>
      </c>
      <c r="G154" s="50" t="str">
        <f>IF($A154="","",$D154+$E154+Simulador!$B$15)</f>
        <v/>
      </c>
    </row>
    <row r="155" spans="1:7" x14ac:dyDescent="0.3">
      <c r="A155" s="48" t="str">
        <f>IF(ROW()-2&lt;=Simulador!$B$13,ROW()-2,"")</f>
        <v/>
      </c>
      <c r="B155" s="49" t="str">
        <f>IF($A155="","",EDATE(Simulador!$B$10,$A155))</f>
        <v/>
      </c>
      <c r="C155" s="50" t="str">
        <f>IF($A155="","",IF($A155=1,Simulador!$B$11,$F154))</f>
        <v/>
      </c>
      <c r="D155" s="50" t="str">
        <f>IF($A155="","",$C155*Simulador!$B$18)</f>
        <v/>
      </c>
      <c r="E155" s="50" t="str">
        <f>IF($A155="","",MIN(Simulador!$B$19-$D155,$C155))</f>
        <v/>
      </c>
      <c r="F155" s="50" t="str">
        <f>IF($A155="","",MAX(0,$C155-$E155))</f>
        <v/>
      </c>
      <c r="G155" s="50" t="str">
        <f>IF($A155="","",$D155+$E155+Simulador!$B$15)</f>
        <v/>
      </c>
    </row>
    <row r="156" spans="1:7" x14ac:dyDescent="0.3">
      <c r="A156" s="48" t="str">
        <f>IF(ROW()-2&lt;=Simulador!$B$13,ROW()-2,"")</f>
        <v/>
      </c>
      <c r="B156" s="49" t="str">
        <f>IF($A156="","",EDATE(Simulador!$B$10,$A156))</f>
        <v/>
      </c>
      <c r="C156" s="50" t="str">
        <f>IF($A156="","",IF($A156=1,Simulador!$B$11,$F155))</f>
        <v/>
      </c>
      <c r="D156" s="50" t="str">
        <f>IF($A156="","",$C156*Simulador!$B$18)</f>
        <v/>
      </c>
      <c r="E156" s="50" t="str">
        <f>IF($A156="","",MIN(Simulador!$B$19-$D156,$C156))</f>
        <v/>
      </c>
      <c r="F156" s="50" t="str">
        <f>IF($A156="","",MAX(0,$C156-$E156))</f>
        <v/>
      </c>
      <c r="G156" s="50" t="str">
        <f>IF($A156="","",$D156+$E156+Simulador!$B$15)</f>
        <v/>
      </c>
    </row>
    <row r="157" spans="1:7" x14ac:dyDescent="0.3">
      <c r="A157" s="48" t="str">
        <f>IF(ROW()-2&lt;=Simulador!$B$13,ROW()-2,"")</f>
        <v/>
      </c>
      <c r="B157" s="49" t="str">
        <f>IF($A157="","",EDATE(Simulador!$B$10,$A157))</f>
        <v/>
      </c>
      <c r="C157" s="50" t="str">
        <f>IF($A157="","",IF($A157=1,Simulador!$B$11,$F156))</f>
        <v/>
      </c>
      <c r="D157" s="50" t="str">
        <f>IF($A157="","",$C157*Simulador!$B$18)</f>
        <v/>
      </c>
      <c r="E157" s="50" t="str">
        <f>IF($A157="","",MIN(Simulador!$B$19-$D157,$C157))</f>
        <v/>
      </c>
      <c r="F157" s="50" t="str">
        <f>IF($A157="","",MAX(0,$C157-$E157))</f>
        <v/>
      </c>
      <c r="G157" s="50" t="str">
        <f>IF($A157="","",$D157+$E157+Simulador!$B$15)</f>
        <v/>
      </c>
    </row>
    <row r="158" spans="1:7" x14ac:dyDescent="0.3">
      <c r="A158" s="48" t="str">
        <f>IF(ROW()-2&lt;=Simulador!$B$13,ROW()-2,"")</f>
        <v/>
      </c>
      <c r="B158" s="49" t="str">
        <f>IF($A158="","",EDATE(Simulador!$B$10,$A158))</f>
        <v/>
      </c>
      <c r="C158" s="50" t="str">
        <f>IF($A158="","",IF($A158=1,Simulador!$B$11,$F157))</f>
        <v/>
      </c>
      <c r="D158" s="50" t="str">
        <f>IF($A158="","",$C158*Simulador!$B$18)</f>
        <v/>
      </c>
      <c r="E158" s="50" t="str">
        <f>IF($A158="","",MIN(Simulador!$B$19-$D158,$C158))</f>
        <v/>
      </c>
      <c r="F158" s="50" t="str">
        <f>IF($A158="","",MAX(0,$C158-$E158))</f>
        <v/>
      </c>
      <c r="G158" s="50" t="str">
        <f>IF($A158="","",$D158+$E158+Simulador!$B$15)</f>
        <v/>
      </c>
    </row>
    <row r="159" spans="1:7" x14ac:dyDescent="0.3">
      <c r="A159" s="48" t="str">
        <f>IF(ROW()-2&lt;=Simulador!$B$13,ROW()-2,"")</f>
        <v/>
      </c>
      <c r="B159" s="49" t="str">
        <f>IF($A159="","",EDATE(Simulador!$B$10,$A159))</f>
        <v/>
      </c>
      <c r="C159" s="50" t="str">
        <f>IF($A159="","",IF($A159=1,Simulador!$B$11,$F158))</f>
        <v/>
      </c>
      <c r="D159" s="50" t="str">
        <f>IF($A159="","",$C159*Simulador!$B$18)</f>
        <v/>
      </c>
      <c r="E159" s="50" t="str">
        <f>IF($A159="","",MIN(Simulador!$B$19-$D159,$C159))</f>
        <v/>
      </c>
      <c r="F159" s="50" t="str">
        <f>IF($A159="","",MAX(0,$C159-$E159))</f>
        <v/>
      </c>
      <c r="G159" s="50" t="str">
        <f>IF($A159="","",$D159+$E159+Simulador!$B$15)</f>
        <v/>
      </c>
    </row>
    <row r="160" spans="1:7" x14ac:dyDescent="0.3">
      <c r="A160" s="48" t="str">
        <f>IF(ROW()-2&lt;=Simulador!$B$13,ROW()-2,"")</f>
        <v/>
      </c>
      <c r="B160" s="49" t="str">
        <f>IF($A160="","",EDATE(Simulador!$B$10,$A160))</f>
        <v/>
      </c>
      <c r="C160" s="50" t="str">
        <f>IF($A160="","",IF($A160=1,Simulador!$B$11,$F159))</f>
        <v/>
      </c>
      <c r="D160" s="50" t="str">
        <f>IF($A160="","",$C160*Simulador!$B$18)</f>
        <v/>
      </c>
      <c r="E160" s="50" t="str">
        <f>IF($A160="","",MIN(Simulador!$B$19-$D160,$C160))</f>
        <v/>
      </c>
      <c r="F160" s="50" t="str">
        <f>IF($A160="","",MAX(0,$C160-$E160))</f>
        <v/>
      </c>
      <c r="G160" s="50" t="str">
        <f>IF($A160="","",$D160+$E160+Simulador!$B$15)</f>
        <v/>
      </c>
    </row>
    <row r="161" spans="1:7" x14ac:dyDescent="0.3">
      <c r="A161" s="48" t="str">
        <f>IF(ROW()-2&lt;=Simulador!$B$13,ROW()-2,"")</f>
        <v/>
      </c>
      <c r="B161" s="49" t="str">
        <f>IF($A161="","",EDATE(Simulador!$B$10,$A161))</f>
        <v/>
      </c>
      <c r="C161" s="50" t="str">
        <f>IF($A161="","",IF($A161=1,Simulador!$B$11,$F160))</f>
        <v/>
      </c>
      <c r="D161" s="50" t="str">
        <f>IF($A161="","",$C161*Simulador!$B$18)</f>
        <v/>
      </c>
      <c r="E161" s="50" t="str">
        <f>IF($A161="","",MIN(Simulador!$B$19-$D161,$C161))</f>
        <v/>
      </c>
      <c r="F161" s="50" t="str">
        <f>IF($A161="","",MAX(0,$C161-$E161))</f>
        <v/>
      </c>
      <c r="G161" s="50" t="str">
        <f>IF($A161="","",$D161+$E161+Simulador!$B$15)</f>
        <v/>
      </c>
    </row>
    <row r="162" spans="1:7" x14ac:dyDescent="0.3">
      <c r="A162" s="48" t="str">
        <f>IF(ROW()-2&lt;=Simulador!$B$13,ROW()-2,"")</f>
        <v/>
      </c>
      <c r="B162" s="49" t="str">
        <f>IF($A162="","",EDATE(Simulador!$B$10,$A162))</f>
        <v/>
      </c>
      <c r="C162" s="50" t="str">
        <f>IF($A162="","",IF($A162=1,Simulador!$B$11,$F161))</f>
        <v/>
      </c>
      <c r="D162" s="50" t="str">
        <f>IF($A162="","",$C162*Simulador!$B$18)</f>
        <v/>
      </c>
      <c r="E162" s="50" t="str">
        <f>IF($A162="","",MIN(Simulador!$B$19-$D162,$C162))</f>
        <v/>
      </c>
      <c r="F162" s="50" t="str">
        <f>IF($A162="","",MAX(0,$C162-$E162))</f>
        <v/>
      </c>
      <c r="G162" s="50" t="str">
        <f>IF($A162="","",$D162+$E162+Simulador!$B$15)</f>
        <v/>
      </c>
    </row>
    <row r="163" spans="1:7" x14ac:dyDescent="0.3">
      <c r="A163" s="48" t="str">
        <f>IF(ROW()-2&lt;=Simulador!$B$13,ROW()-2,"")</f>
        <v/>
      </c>
      <c r="B163" s="49" t="str">
        <f>IF($A163="","",EDATE(Simulador!$B$10,$A163))</f>
        <v/>
      </c>
      <c r="C163" s="50" t="str">
        <f>IF($A163="","",IF($A163=1,Simulador!$B$11,$F162))</f>
        <v/>
      </c>
      <c r="D163" s="50" t="str">
        <f>IF($A163="","",$C163*Simulador!$B$18)</f>
        <v/>
      </c>
      <c r="E163" s="50" t="str">
        <f>IF($A163="","",MIN(Simulador!$B$19-$D163,$C163))</f>
        <v/>
      </c>
      <c r="F163" s="50" t="str">
        <f>IF($A163="","",MAX(0,$C163-$E163))</f>
        <v/>
      </c>
      <c r="G163" s="50" t="str">
        <f>IF($A163="","",$D163+$E163+Simulador!$B$15)</f>
        <v/>
      </c>
    </row>
    <row r="164" spans="1:7" x14ac:dyDescent="0.3">
      <c r="A164" s="48" t="str">
        <f>IF(ROW()-2&lt;=Simulador!$B$13,ROW()-2,"")</f>
        <v/>
      </c>
      <c r="B164" s="49" t="str">
        <f>IF($A164="","",EDATE(Simulador!$B$10,$A164))</f>
        <v/>
      </c>
      <c r="C164" s="50" t="str">
        <f>IF($A164="","",IF($A164=1,Simulador!$B$11,$F163))</f>
        <v/>
      </c>
      <c r="D164" s="50" t="str">
        <f>IF($A164="","",$C164*Simulador!$B$18)</f>
        <v/>
      </c>
      <c r="E164" s="50" t="str">
        <f>IF($A164="","",MIN(Simulador!$B$19-$D164,$C164))</f>
        <v/>
      </c>
      <c r="F164" s="50" t="str">
        <f>IF($A164="","",MAX(0,$C164-$E164))</f>
        <v/>
      </c>
      <c r="G164" s="50" t="str">
        <f>IF($A164="","",$D164+$E164+Simulador!$B$15)</f>
        <v/>
      </c>
    </row>
    <row r="165" spans="1:7" x14ac:dyDescent="0.3">
      <c r="A165" s="48" t="str">
        <f>IF(ROW()-2&lt;=Simulador!$B$13,ROW()-2,"")</f>
        <v/>
      </c>
      <c r="B165" s="49" t="str">
        <f>IF($A165="","",EDATE(Simulador!$B$10,$A165))</f>
        <v/>
      </c>
      <c r="C165" s="50" t="str">
        <f>IF($A165="","",IF($A165=1,Simulador!$B$11,$F164))</f>
        <v/>
      </c>
      <c r="D165" s="50" t="str">
        <f>IF($A165="","",$C165*Simulador!$B$18)</f>
        <v/>
      </c>
      <c r="E165" s="50" t="str">
        <f>IF($A165="","",MIN(Simulador!$B$19-$D165,$C165))</f>
        <v/>
      </c>
      <c r="F165" s="50" t="str">
        <f>IF($A165="","",MAX(0,$C165-$E165))</f>
        <v/>
      </c>
      <c r="G165" s="50" t="str">
        <f>IF($A165="","",$D165+$E165+Simulador!$B$15)</f>
        <v/>
      </c>
    </row>
    <row r="166" spans="1:7" x14ac:dyDescent="0.3">
      <c r="A166" s="48" t="str">
        <f>IF(ROW()-2&lt;=Simulador!$B$13,ROW()-2,"")</f>
        <v/>
      </c>
      <c r="B166" s="49" t="str">
        <f>IF($A166="","",EDATE(Simulador!$B$10,$A166))</f>
        <v/>
      </c>
      <c r="C166" s="50" t="str">
        <f>IF($A166="","",IF($A166=1,Simulador!$B$11,$F165))</f>
        <v/>
      </c>
      <c r="D166" s="50" t="str">
        <f>IF($A166="","",$C166*Simulador!$B$18)</f>
        <v/>
      </c>
      <c r="E166" s="50" t="str">
        <f>IF($A166="","",MIN(Simulador!$B$19-$D166,$C166))</f>
        <v/>
      </c>
      <c r="F166" s="50" t="str">
        <f>IF($A166="","",MAX(0,$C166-$E166))</f>
        <v/>
      </c>
      <c r="G166" s="50" t="str">
        <f>IF($A166="","",$D166+$E166+Simulador!$B$15)</f>
        <v/>
      </c>
    </row>
    <row r="167" spans="1:7" x14ac:dyDescent="0.3">
      <c r="A167" s="48" t="str">
        <f>IF(ROW()-2&lt;=Simulador!$B$13,ROW()-2,"")</f>
        <v/>
      </c>
      <c r="B167" s="49" t="str">
        <f>IF($A167="","",EDATE(Simulador!$B$10,$A167))</f>
        <v/>
      </c>
      <c r="C167" s="50" t="str">
        <f>IF($A167="","",IF($A167=1,Simulador!$B$11,$F166))</f>
        <v/>
      </c>
      <c r="D167" s="50" t="str">
        <f>IF($A167="","",$C167*Simulador!$B$18)</f>
        <v/>
      </c>
      <c r="E167" s="50" t="str">
        <f>IF($A167="","",MIN(Simulador!$B$19-$D167,$C167))</f>
        <v/>
      </c>
      <c r="F167" s="50" t="str">
        <f>IF($A167="","",MAX(0,$C167-$E167))</f>
        <v/>
      </c>
      <c r="G167" s="50" t="str">
        <f>IF($A167="","",$D167+$E167+Simulador!$B$15)</f>
        <v/>
      </c>
    </row>
    <row r="168" spans="1:7" x14ac:dyDescent="0.3">
      <c r="A168" s="48" t="str">
        <f>IF(ROW()-2&lt;=Simulador!$B$13,ROW()-2,"")</f>
        <v/>
      </c>
      <c r="B168" s="49" t="str">
        <f>IF($A168="","",EDATE(Simulador!$B$10,$A168))</f>
        <v/>
      </c>
      <c r="C168" s="50" t="str">
        <f>IF($A168="","",IF($A168=1,Simulador!$B$11,$F167))</f>
        <v/>
      </c>
      <c r="D168" s="50" t="str">
        <f>IF($A168="","",$C168*Simulador!$B$18)</f>
        <v/>
      </c>
      <c r="E168" s="50" t="str">
        <f>IF($A168="","",MIN(Simulador!$B$19-$D168,$C168))</f>
        <v/>
      </c>
      <c r="F168" s="50" t="str">
        <f>IF($A168="","",MAX(0,$C168-$E168))</f>
        <v/>
      </c>
      <c r="G168" s="50" t="str">
        <f>IF($A168="","",$D168+$E168+Simulador!$B$15)</f>
        <v/>
      </c>
    </row>
    <row r="169" spans="1:7" x14ac:dyDescent="0.3">
      <c r="A169" s="48" t="str">
        <f>IF(ROW()-2&lt;=Simulador!$B$13,ROW()-2,"")</f>
        <v/>
      </c>
      <c r="B169" s="49" t="str">
        <f>IF($A169="","",EDATE(Simulador!$B$10,$A169))</f>
        <v/>
      </c>
      <c r="C169" s="50" t="str">
        <f>IF($A169="","",IF($A169=1,Simulador!$B$11,$F168))</f>
        <v/>
      </c>
      <c r="D169" s="50" t="str">
        <f>IF($A169="","",$C169*Simulador!$B$18)</f>
        <v/>
      </c>
      <c r="E169" s="50" t="str">
        <f>IF($A169="","",MIN(Simulador!$B$19-$D169,$C169))</f>
        <v/>
      </c>
      <c r="F169" s="50" t="str">
        <f>IF($A169="","",MAX(0,$C169-$E169))</f>
        <v/>
      </c>
      <c r="G169" s="50" t="str">
        <f>IF($A169="","",$D169+$E169+Simulador!$B$15)</f>
        <v/>
      </c>
    </row>
    <row r="170" spans="1:7" x14ac:dyDescent="0.3">
      <c r="A170" s="48" t="str">
        <f>IF(ROW()-2&lt;=Simulador!$B$13,ROW()-2,"")</f>
        <v/>
      </c>
      <c r="B170" s="49" t="str">
        <f>IF($A170="","",EDATE(Simulador!$B$10,$A170))</f>
        <v/>
      </c>
      <c r="C170" s="50" t="str">
        <f>IF($A170="","",IF($A170=1,Simulador!$B$11,$F169))</f>
        <v/>
      </c>
      <c r="D170" s="50" t="str">
        <f>IF($A170="","",$C170*Simulador!$B$18)</f>
        <v/>
      </c>
      <c r="E170" s="50" t="str">
        <f>IF($A170="","",MIN(Simulador!$B$19-$D170,$C170))</f>
        <v/>
      </c>
      <c r="F170" s="50" t="str">
        <f>IF($A170="","",MAX(0,$C170-$E170))</f>
        <v/>
      </c>
      <c r="G170" s="50" t="str">
        <f>IF($A170="","",$D170+$E170+Simulador!$B$15)</f>
        <v/>
      </c>
    </row>
    <row r="171" spans="1:7" x14ac:dyDescent="0.3">
      <c r="A171" s="48" t="str">
        <f>IF(ROW()-2&lt;=Simulador!$B$13,ROW()-2,"")</f>
        <v/>
      </c>
      <c r="B171" s="49" t="str">
        <f>IF($A171="","",EDATE(Simulador!$B$10,$A171))</f>
        <v/>
      </c>
      <c r="C171" s="50" t="str">
        <f>IF($A171="","",IF($A171=1,Simulador!$B$11,$F170))</f>
        <v/>
      </c>
      <c r="D171" s="50" t="str">
        <f>IF($A171="","",$C171*Simulador!$B$18)</f>
        <v/>
      </c>
      <c r="E171" s="50" t="str">
        <f>IF($A171="","",MIN(Simulador!$B$19-$D171,$C171))</f>
        <v/>
      </c>
      <c r="F171" s="50" t="str">
        <f>IF($A171="","",MAX(0,$C171-$E171))</f>
        <v/>
      </c>
      <c r="G171" s="50" t="str">
        <f>IF($A171="","",$D171+$E171+Simulador!$B$15)</f>
        <v/>
      </c>
    </row>
    <row r="172" spans="1:7" x14ac:dyDescent="0.3">
      <c r="A172" s="48" t="str">
        <f>IF(ROW()-2&lt;=Simulador!$B$13,ROW()-2,"")</f>
        <v/>
      </c>
      <c r="B172" s="49" t="str">
        <f>IF($A172="","",EDATE(Simulador!$B$10,$A172))</f>
        <v/>
      </c>
      <c r="C172" s="50" t="str">
        <f>IF($A172="","",IF($A172=1,Simulador!$B$11,$F171))</f>
        <v/>
      </c>
      <c r="D172" s="50" t="str">
        <f>IF($A172="","",$C172*Simulador!$B$18)</f>
        <v/>
      </c>
      <c r="E172" s="50" t="str">
        <f>IF($A172="","",MIN(Simulador!$B$19-$D172,$C172))</f>
        <v/>
      </c>
      <c r="F172" s="50" t="str">
        <f>IF($A172="","",MAX(0,$C172-$E172))</f>
        <v/>
      </c>
      <c r="G172" s="50" t="str">
        <f>IF($A172="","",$D172+$E172+Simulador!$B$15)</f>
        <v/>
      </c>
    </row>
    <row r="173" spans="1:7" x14ac:dyDescent="0.3">
      <c r="A173" s="48" t="str">
        <f>IF(ROW()-2&lt;=Simulador!$B$13,ROW()-2,"")</f>
        <v/>
      </c>
      <c r="B173" s="49" t="str">
        <f>IF($A173="","",EDATE(Simulador!$B$10,$A173))</f>
        <v/>
      </c>
      <c r="C173" s="50" t="str">
        <f>IF($A173="","",IF($A173=1,Simulador!$B$11,$F172))</f>
        <v/>
      </c>
      <c r="D173" s="50" t="str">
        <f>IF($A173="","",$C173*Simulador!$B$18)</f>
        <v/>
      </c>
      <c r="E173" s="50" t="str">
        <f>IF($A173="","",MIN(Simulador!$B$19-$D173,$C173))</f>
        <v/>
      </c>
      <c r="F173" s="50" t="str">
        <f>IF($A173="","",MAX(0,$C173-$E173))</f>
        <v/>
      </c>
      <c r="G173" s="50" t="str">
        <f>IF($A173="","",$D173+$E173+Simulador!$B$15)</f>
        <v/>
      </c>
    </row>
    <row r="174" spans="1:7" x14ac:dyDescent="0.3">
      <c r="A174" s="48" t="str">
        <f>IF(ROW()-2&lt;=Simulador!$B$13,ROW()-2,"")</f>
        <v/>
      </c>
      <c r="B174" s="49" t="str">
        <f>IF($A174="","",EDATE(Simulador!$B$10,$A174))</f>
        <v/>
      </c>
      <c r="C174" s="50" t="str">
        <f>IF($A174="","",IF($A174=1,Simulador!$B$11,$F173))</f>
        <v/>
      </c>
      <c r="D174" s="50" t="str">
        <f>IF($A174="","",$C174*Simulador!$B$18)</f>
        <v/>
      </c>
      <c r="E174" s="50" t="str">
        <f>IF($A174="","",MIN(Simulador!$B$19-$D174,$C174))</f>
        <v/>
      </c>
      <c r="F174" s="50" t="str">
        <f>IF($A174="","",MAX(0,$C174-$E174))</f>
        <v/>
      </c>
      <c r="G174" s="50" t="str">
        <f>IF($A174="","",$D174+$E174+Simulador!$B$15)</f>
        <v/>
      </c>
    </row>
    <row r="175" spans="1:7" x14ac:dyDescent="0.3">
      <c r="A175" s="48" t="str">
        <f>IF(ROW()-2&lt;=Simulador!$B$13,ROW()-2,"")</f>
        <v/>
      </c>
      <c r="B175" s="49" t="str">
        <f>IF($A175="","",EDATE(Simulador!$B$10,$A175))</f>
        <v/>
      </c>
      <c r="C175" s="50" t="str">
        <f>IF($A175="","",IF($A175=1,Simulador!$B$11,$F174))</f>
        <v/>
      </c>
      <c r="D175" s="50" t="str">
        <f>IF($A175="","",$C175*Simulador!$B$18)</f>
        <v/>
      </c>
      <c r="E175" s="50" t="str">
        <f>IF($A175="","",MIN(Simulador!$B$19-$D175,$C175))</f>
        <v/>
      </c>
      <c r="F175" s="50" t="str">
        <f>IF($A175="","",MAX(0,$C175-$E175))</f>
        <v/>
      </c>
      <c r="G175" s="50" t="str">
        <f>IF($A175="","",$D175+$E175+Simulador!$B$15)</f>
        <v/>
      </c>
    </row>
    <row r="176" spans="1:7" x14ac:dyDescent="0.3">
      <c r="A176" s="48" t="str">
        <f>IF(ROW()-2&lt;=Simulador!$B$13,ROW()-2,"")</f>
        <v/>
      </c>
      <c r="B176" s="49" t="str">
        <f>IF($A176="","",EDATE(Simulador!$B$10,$A176))</f>
        <v/>
      </c>
      <c r="C176" s="50" t="str">
        <f>IF($A176="","",IF($A176=1,Simulador!$B$11,$F175))</f>
        <v/>
      </c>
      <c r="D176" s="50" t="str">
        <f>IF($A176="","",$C176*Simulador!$B$18)</f>
        <v/>
      </c>
      <c r="E176" s="50" t="str">
        <f>IF($A176="","",MIN(Simulador!$B$19-$D176,$C176))</f>
        <v/>
      </c>
      <c r="F176" s="50" t="str">
        <f>IF($A176="","",MAX(0,$C176-$E176))</f>
        <v/>
      </c>
      <c r="G176" s="50" t="str">
        <f>IF($A176="","",$D176+$E176+Simulador!$B$15)</f>
        <v/>
      </c>
    </row>
    <row r="177" spans="1:7" x14ac:dyDescent="0.3">
      <c r="A177" s="48" t="str">
        <f>IF(ROW()-2&lt;=Simulador!$B$13,ROW()-2,"")</f>
        <v/>
      </c>
      <c r="B177" s="49" t="str">
        <f>IF($A177="","",EDATE(Simulador!$B$10,$A177))</f>
        <v/>
      </c>
      <c r="C177" s="50" t="str">
        <f>IF($A177="","",IF($A177=1,Simulador!$B$11,$F176))</f>
        <v/>
      </c>
      <c r="D177" s="50" t="str">
        <f>IF($A177="","",$C177*Simulador!$B$18)</f>
        <v/>
      </c>
      <c r="E177" s="50" t="str">
        <f>IF($A177="","",MIN(Simulador!$B$19-$D177,$C177))</f>
        <v/>
      </c>
      <c r="F177" s="50" t="str">
        <f>IF($A177="","",MAX(0,$C177-$E177))</f>
        <v/>
      </c>
      <c r="G177" s="50" t="str">
        <f>IF($A177="","",$D177+$E177+Simulador!$B$15)</f>
        <v/>
      </c>
    </row>
    <row r="178" spans="1:7" x14ac:dyDescent="0.3">
      <c r="A178" s="48" t="str">
        <f>IF(ROW()-2&lt;=Simulador!$B$13,ROW()-2,"")</f>
        <v/>
      </c>
      <c r="B178" s="49" t="str">
        <f>IF($A178="","",EDATE(Simulador!$B$10,$A178))</f>
        <v/>
      </c>
      <c r="C178" s="50" t="str">
        <f>IF($A178="","",IF($A178=1,Simulador!$B$11,$F177))</f>
        <v/>
      </c>
      <c r="D178" s="50" t="str">
        <f>IF($A178="","",$C178*Simulador!$B$18)</f>
        <v/>
      </c>
      <c r="E178" s="50" t="str">
        <f>IF($A178="","",MIN(Simulador!$B$19-$D178,$C178))</f>
        <v/>
      </c>
      <c r="F178" s="50" t="str">
        <f>IF($A178="","",MAX(0,$C178-$E178))</f>
        <v/>
      </c>
      <c r="G178" s="50" t="str">
        <f>IF($A178="","",$D178+$E178+Simulador!$B$15)</f>
        <v/>
      </c>
    </row>
    <row r="179" spans="1:7" x14ac:dyDescent="0.3">
      <c r="A179" s="48" t="str">
        <f>IF(ROW()-2&lt;=Simulador!$B$13,ROW()-2,"")</f>
        <v/>
      </c>
      <c r="B179" s="49" t="str">
        <f>IF($A179="","",EDATE(Simulador!$B$10,$A179))</f>
        <v/>
      </c>
      <c r="C179" s="50" t="str">
        <f>IF($A179="","",IF($A179=1,Simulador!$B$11,$F178))</f>
        <v/>
      </c>
      <c r="D179" s="50" t="str">
        <f>IF($A179="","",$C179*Simulador!$B$18)</f>
        <v/>
      </c>
      <c r="E179" s="50" t="str">
        <f>IF($A179="","",MIN(Simulador!$B$19-$D179,$C179))</f>
        <v/>
      </c>
      <c r="F179" s="50" t="str">
        <f>IF($A179="","",MAX(0,$C179-$E179))</f>
        <v/>
      </c>
      <c r="G179" s="50" t="str">
        <f>IF($A179="","",$D179+$E179+Simulador!$B$15)</f>
        <v/>
      </c>
    </row>
    <row r="180" spans="1:7" x14ac:dyDescent="0.3">
      <c r="A180" s="48" t="str">
        <f>IF(ROW()-2&lt;=Simulador!$B$13,ROW()-2,"")</f>
        <v/>
      </c>
      <c r="B180" s="49" t="str">
        <f>IF($A180="","",EDATE(Simulador!$B$10,$A180))</f>
        <v/>
      </c>
      <c r="C180" s="50" t="str">
        <f>IF($A180="","",IF($A180=1,Simulador!$B$11,$F179))</f>
        <v/>
      </c>
      <c r="D180" s="50" t="str">
        <f>IF($A180="","",$C180*Simulador!$B$18)</f>
        <v/>
      </c>
      <c r="E180" s="50" t="str">
        <f>IF($A180="","",MIN(Simulador!$B$19-$D180,$C180))</f>
        <v/>
      </c>
      <c r="F180" s="50" t="str">
        <f>IF($A180="","",MAX(0,$C180-$E180))</f>
        <v/>
      </c>
      <c r="G180" s="50" t="str">
        <f>IF($A180="","",$D180+$E180+Simulador!$B$15)</f>
        <v/>
      </c>
    </row>
    <row r="181" spans="1:7" x14ac:dyDescent="0.3">
      <c r="A181" s="48" t="str">
        <f>IF(ROW()-2&lt;=Simulador!$B$13,ROW()-2,"")</f>
        <v/>
      </c>
      <c r="B181" s="49" t="str">
        <f>IF($A181="","",EDATE(Simulador!$B$10,$A181))</f>
        <v/>
      </c>
      <c r="C181" s="50" t="str">
        <f>IF($A181="","",IF($A181=1,Simulador!$B$11,$F180))</f>
        <v/>
      </c>
      <c r="D181" s="50" t="str">
        <f>IF($A181="","",$C181*Simulador!$B$18)</f>
        <v/>
      </c>
      <c r="E181" s="50" t="str">
        <f>IF($A181="","",MIN(Simulador!$B$19-$D181,$C181))</f>
        <v/>
      </c>
      <c r="F181" s="50" t="str">
        <f>IF($A181="","",MAX(0,$C181-$E181))</f>
        <v/>
      </c>
      <c r="G181" s="50" t="str">
        <f>IF($A181="","",$D181+$E181+Simulador!$B$15)</f>
        <v/>
      </c>
    </row>
    <row r="182" spans="1:7" x14ac:dyDescent="0.3">
      <c r="A182" s="48" t="str">
        <f>IF(ROW()-2&lt;=Simulador!$B$13,ROW()-2,"")</f>
        <v/>
      </c>
      <c r="B182" s="49" t="str">
        <f>IF($A182="","",EDATE(Simulador!$B$10,$A182))</f>
        <v/>
      </c>
      <c r="C182" s="50" t="str">
        <f>IF($A182="","",IF($A182=1,Simulador!$B$11,$F181))</f>
        <v/>
      </c>
      <c r="D182" s="50" t="str">
        <f>IF($A182="","",$C182*Simulador!$B$18)</f>
        <v/>
      </c>
      <c r="E182" s="50" t="str">
        <f>IF($A182="","",MIN(Simulador!$B$19-$D182,$C182))</f>
        <v/>
      </c>
      <c r="F182" s="50" t="str">
        <f>IF($A182="","",MAX(0,$C182-$E182))</f>
        <v/>
      </c>
      <c r="G182" s="50" t="str">
        <f>IF($A182="","",$D182+$E182+Simulador!$B$15)</f>
        <v/>
      </c>
    </row>
    <row r="183" spans="1:7" x14ac:dyDescent="0.3">
      <c r="A183" s="48" t="str">
        <f>IF(ROW()-2&lt;=Simulador!$B$13,ROW()-2,"")</f>
        <v/>
      </c>
      <c r="B183" s="49" t="str">
        <f>IF($A183="","",EDATE(Simulador!$B$10,$A183))</f>
        <v/>
      </c>
      <c r="C183" s="50" t="str">
        <f>IF($A183="","",IF($A183=1,Simulador!$B$11,$F182))</f>
        <v/>
      </c>
      <c r="D183" s="50" t="str">
        <f>IF($A183="","",$C183*Simulador!$B$18)</f>
        <v/>
      </c>
      <c r="E183" s="50" t="str">
        <f>IF($A183="","",MIN(Simulador!$B$19-$D183,$C183))</f>
        <v/>
      </c>
      <c r="F183" s="50" t="str">
        <f>IF($A183="","",MAX(0,$C183-$E183))</f>
        <v/>
      </c>
      <c r="G183" s="50" t="str">
        <f>IF($A183="","",$D183+$E183+Simulador!$B$15)</f>
        <v/>
      </c>
    </row>
    <row r="184" spans="1:7" x14ac:dyDescent="0.3">
      <c r="A184" s="48" t="str">
        <f>IF(ROW()-2&lt;=Simulador!$B$13,ROW()-2,"")</f>
        <v/>
      </c>
      <c r="B184" s="49" t="str">
        <f>IF($A184="","",EDATE(Simulador!$B$10,$A184))</f>
        <v/>
      </c>
      <c r="C184" s="50" t="str">
        <f>IF($A184="","",IF($A184=1,Simulador!$B$11,$F183))</f>
        <v/>
      </c>
      <c r="D184" s="50" t="str">
        <f>IF($A184="","",$C184*Simulador!$B$18)</f>
        <v/>
      </c>
      <c r="E184" s="50" t="str">
        <f>IF($A184="","",MIN(Simulador!$B$19-$D184,$C184))</f>
        <v/>
      </c>
      <c r="F184" s="50" t="str">
        <f>IF($A184="","",MAX(0,$C184-$E184))</f>
        <v/>
      </c>
      <c r="G184" s="50" t="str">
        <f>IF($A184="","",$D184+$E184+Simulador!$B$15)</f>
        <v/>
      </c>
    </row>
    <row r="185" spans="1:7" x14ac:dyDescent="0.3">
      <c r="A185" s="48" t="str">
        <f>IF(ROW()-2&lt;=Simulador!$B$13,ROW()-2,"")</f>
        <v/>
      </c>
      <c r="B185" s="49" t="str">
        <f>IF($A185="","",EDATE(Simulador!$B$10,$A185))</f>
        <v/>
      </c>
      <c r="C185" s="50" t="str">
        <f>IF($A185="","",IF($A185=1,Simulador!$B$11,$F184))</f>
        <v/>
      </c>
      <c r="D185" s="50" t="str">
        <f>IF($A185="","",$C185*Simulador!$B$18)</f>
        <v/>
      </c>
      <c r="E185" s="50" t="str">
        <f>IF($A185="","",MIN(Simulador!$B$19-$D185,$C185))</f>
        <v/>
      </c>
      <c r="F185" s="50" t="str">
        <f>IF($A185="","",MAX(0,$C185-$E185))</f>
        <v/>
      </c>
      <c r="G185" s="50" t="str">
        <f>IF($A185="","",$D185+$E185+Simulador!$B$15)</f>
        <v/>
      </c>
    </row>
    <row r="186" spans="1:7" x14ac:dyDescent="0.3">
      <c r="A186" s="48" t="str">
        <f>IF(ROW()-2&lt;=Simulador!$B$13,ROW()-2,"")</f>
        <v/>
      </c>
      <c r="B186" s="49" t="str">
        <f>IF($A186="","",EDATE(Simulador!$B$10,$A186))</f>
        <v/>
      </c>
      <c r="C186" s="50" t="str">
        <f>IF($A186="","",IF($A186=1,Simulador!$B$11,$F185))</f>
        <v/>
      </c>
      <c r="D186" s="50" t="str">
        <f>IF($A186="","",$C186*Simulador!$B$18)</f>
        <v/>
      </c>
      <c r="E186" s="50" t="str">
        <f>IF($A186="","",MIN(Simulador!$B$19-$D186,$C186))</f>
        <v/>
      </c>
      <c r="F186" s="50" t="str">
        <f>IF($A186="","",MAX(0,$C186-$E186))</f>
        <v/>
      </c>
      <c r="G186" s="50" t="str">
        <f>IF($A186="","",$D186+$E186+Simulador!$B$15)</f>
        <v/>
      </c>
    </row>
    <row r="187" spans="1:7" x14ac:dyDescent="0.3">
      <c r="A187" s="48" t="str">
        <f>IF(ROW()-2&lt;=Simulador!$B$13,ROW()-2,"")</f>
        <v/>
      </c>
      <c r="B187" s="49" t="str">
        <f>IF($A187="","",EDATE(Simulador!$B$10,$A187))</f>
        <v/>
      </c>
      <c r="C187" s="50" t="str">
        <f>IF($A187="","",IF($A187=1,Simulador!$B$11,$F186))</f>
        <v/>
      </c>
      <c r="D187" s="50" t="str">
        <f>IF($A187="","",$C187*Simulador!$B$18)</f>
        <v/>
      </c>
      <c r="E187" s="50" t="str">
        <f>IF($A187="","",MIN(Simulador!$B$19-$D187,$C187))</f>
        <v/>
      </c>
      <c r="F187" s="50" t="str">
        <f>IF($A187="","",MAX(0,$C187-$E187))</f>
        <v/>
      </c>
      <c r="G187" s="50" t="str">
        <f>IF($A187="","",$D187+$E187+Simulador!$B$15)</f>
        <v/>
      </c>
    </row>
    <row r="188" spans="1:7" x14ac:dyDescent="0.3">
      <c r="A188" s="48" t="str">
        <f>IF(ROW()-2&lt;=Simulador!$B$13,ROW()-2,"")</f>
        <v/>
      </c>
      <c r="B188" s="49" t="str">
        <f>IF($A188="","",EDATE(Simulador!$B$10,$A188))</f>
        <v/>
      </c>
      <c r="C188" s="50" t="str">
        <f>IF($A188="","",IF($A188=1,Simulador!$B$11,$F187))</f>
        <v/>
      </c>
      <c r="D188" s="50" t="str">
        <f>IF($A188="","",$C188*Simulador!$B$18)</f>
        <v/>
      </c>
      <c r="E188" s="50" t="str">
        <f>IF($A188="","",MIN(Simulador!$B$19-$D188,$C188))</f>
        <v/>
      </c>
      <c r="F188" s="50" t="str">
        <f>IF($A188="","",MAX(0,$C188-$E188))</f>
        <v/>
      </c>
      <c r="G188" s="50" t="str">
        <f>IF($A188="","",$D188+$E188+Simulador!$B$15)</f>
        <v/>
      </c>
    </row>
    <row r="189" spans="1:7" x14ac:dyDescent="0.3">
      <c r="A189" s="48" t="str">
        <f>IF(ROW()-2&lt;=Simulador!$B$13,ROW()-2,"")</f>
        <v/>
      </c>
      <c r="B189" s="49" t="str">
        <f>IF($A189="","",EDATE(Simulador!$B$10,$A189))</f>
        <v/>
      </c>
      <c r="C189" s="50" t="str">
        <f>IF($A189="","",IF($A189=1,Simulador!$B$11,$F188))</f>
        <v/>
      </c>
      <c r="D189" s="50" t="str">
        <f>IF($A189="","",$C189*Simulador!$B$18)</f>
        <v/>
      </c>
      <c r="E189" s="50" t="str">
        <f>IF($A189="","",MIN(Simulador!$B$19-$D189,$C189))</f>
        <v/>
      </c>
      <c r="F189" s="50" t="str">
        <f>IF($A189="","",MAX(0,$C189-$E189))</f>
        <v/>
      </c>
      <c r="G189" s="50" t="str">
        <f>IF($A189="","",$D189+$E189+Simulador!$B$15)</f>
        <v/>
      </c>
    </row>
    <row r="190" spans="1:7" x14ac:dyDescent="0.3">
      <c r="A190" s="48" t="str">
        <f>IF(ROW()-2&lt;=Simulador!$B$13,ROW()-2,"")</f>
        <v/>
      </c>
      <c r="B190" s="49" t="str">
        <f>IF($A190="","",EDATE(Simulador!$B$10,$A190))</f>
        <v/>
      </c>
      <c r="C190" s="50" t="str">
        <f>IF($A190="","",IF($A190=1,Simulador!$B$11,$F189))</f>
        <v/>
      </c>
      <c r="D190" s="50" t="str">
        <f>IF($A190="","",$C190*Simulador!$B$18)</f>
        <v/>
      </c>
      <c r="E190" s="50" t="str">
        <f>IF($A190="","",MIN(Simulador!$B$19-$D190,$C190))</f>
        <v/>
      </c>
      <c r="F190" s="50" t="str">
        <f>IF($A190="","",MAX(0,$C190-$E190))</f>
        <v/>
      </c>
      <c r="G190" s="50" t="str">
        <f>IF($A190="","",$D190+$E190+Simulador!$B$15)</f>
        <v/>
      </c>
    </row>
    <row r="191" spans="1:7" x14ac:dyDescent="0.3">
      <c r="A191" s="48" t="str">
        <f>IF(ROW()-2&lt;=Simulador!$B$13,ROW()-2,"")</f>
        <v/>
      </c>
      <c r="B191" s="49" t="str">
        <f>IF($A191="","",EDATE(Simulador!$B$10,$A191))</f>
        <v/>
      </c>
      <c r="C191" s="50" t="str">
        <f>IF($A191="","",IF($A191=1,Simulador!$B$11,$F190))</f>
        <v/>
      </c>
      <c r="D191" s="50" t="str">
        <f>IF($A191="","",$C191*Simulador!$B$18)</f>
        <v/>
      </c>
      <c r="E191" s="50" t="str">
        <f>IF($A191="","",MIN(Simulador!$B$19-$D191,$C191))</f>
        <v/>
      </c>
      <c r="F191" s="50" t="str">
        <f>IF($A191="","",MAX(0,$C191-$E191))</f>
        <v/>
      </c>
      <c r="G191" s="50" t="str">
        <f>IF($A191="","",$D191+$E191+Simulador!$B$15)</f>
        <v/>
      </c>
    </row>
    <row r="192" spans="1:7" x14ac:dyDescent="0.3">
      <c r="A192" s="48" t="str">
        <f>IF(ROW()-2&lt;=Simulador!$B$13,ROW()-2,"")</f>
        <v/>
      </c>
      <c r="B192" s="49" t="str">
        <f>IF($A192="","",EDATE(Simulador!$B$10,$A192))</f>
        <v/>
      </c>
      <c r="C192" s="50" t="str">
        <f>IF($A192="","",IF($A192=1,Simulador!$B$11,$F191))</f>
        <v/>
      </c>
      <c r="D192" s="50" t="str">
        <f>IF($A192="","",$C192*Simulador!$B$18)</f>
        <v/>
      </c>
      <c r="E192" s="50" t="str">
        <f>IF($A192="","",MIN(Simulador!$B$19-$D192,$C192))</f>
        <v/>
      </c>
      <c r="F192" s="50" t="str">
        <f>IF($A192="","",MAX(0,$C192-$E192))</f>
        <v/>
      </c>
      <c r="G192" s="50" t="str">
        <f>IF($A192="","",$D192+$E192+Simulador!$B$15)</f>
        <v/>
      </c>
    </row>
    <row r="193" spans="1:7" x14ac:dyDescent="0.3">
      <c r="A193" s="48" t="str">
        <f>IF(ROW()-2&lt;=Simulador!$B$13,ROW()-2,"")</f>
        <v/>
      </c>
      <c r="B193" s="49" t="str">
        <f>IF($A193="","",EDATE(Simulador!$B$10,$A193))</f>
        <v/>
      </c>
      <c r="C193" s="50" t="str">
        <f>IF($A193="","",IF($A193=1,Simulador!$B$11,$F192))</f>
        <v/>
      </c>
      <c r="D193" s="50" t="str">
        <f>IF($A193="","",$C193*Simulador!$B$18)</f>
        <v/>
      </c>
      <c r="E193" s="50" t="str">
        <f>IF($A193="","",MIN(Simulador!$B$19-$D193,$C193))</f>
        <v/>
      </c>
      <c r="F193" s="50" t="str">
        <f>IF($A193="","",MAX(0,$C193-$E193))</f>
        <v/>
      </c>
      <c r="G193" s="50" t="str">
        <f>IF($A193="","",$D193+$E193+Simulador!$B$15)</f>
        <v/>
      </c>
    </row>
    <row r="194" spans="1:7" x14ac:dyDescent="0.3">
      <c r="A194" s="48" t="str">
        <f>IF(ROW()-2&lt;=Simulador!$B$13,ROW()-2,"")</f>
        <v/>
      </c>
      <c r="B194" s="49" t="str">
        <f>IF($A194="","",EDATE(Simulador!$B$10,$A194))</f>
        <v/>
      </c>
      <c r="C194" s="50" t="str">
        <f>IF($A194="","",IF($A194=1,Simulador!$B$11,$F193))</f>
        <v/>
      </c>
      <c r="D194" s="50" t="str">
        <f>IF($A194="","",$C194*Simulador!$B$18)</f>
        <v/>
      </c>
      <c r="E194" s="50" t="str">
        <f>IF($A194="","",MIN(Simulador!$B$19-$D194,$C194))</f>
        <v/>
      </c>
      <c r="F194" s="50" t="str">
        <f>IF($A194="","",MAX(0,$C194-$E194))</f>
        <v/>
      </c>
      <c r="G194" s="50" t="str">
        <f>IF($A194="","",$D194+$E194+Simulador!$B$15)</f>
        <v/>
      </c>
    </row>
    <row r="195" spans="1:7" x14ac:dyDescent="0.3">
      <c r="A195" s="48" t="str">
        <f>IF(ROW()-2&lt;=Simulador!$B$13,ROW()-2,"")</f>
        <v/>
      </c>
      <c r="B195" s="49" t="str">
        <f>IF($A195="","",EDATE(Simulador!$B$10,$A195))</f>
        <v/>
      </c>
      <c r="C195" s="50" t="str">
        <f>IF($A195="","",IF($A195=1,Simulador!$B$11,$F194))</f>
        <v/>
      </c>
      <c r="D195" s="50" t="str">
        <f>IF($A195="","",$C195*Simulador!$B$18)</f>
        <v/>
      </c>
      <c r="E195" s="50" t="str">
        <f>IF($A195="","",MIN(Simulador!$B$19-$D195,$C195))</f>
        <v/>
      </c>
      <c r="F195" s="50" t="str">
        <f>IF($A195="","",MAX(0,$C195-$E195))</f>
        <v/>
      </c>
      <c r="G195" s="50" t="str">
        <f>IF($A195="","",$D195+$E195+Simulador!$B$15)</f>
        <v/>
      </c>
    </row>
    <row r="196" spans="1:7" x14ac:dyDescent="0.3">
      <c r="A196" s="48" t="str">
        <f>IF(ROW()-2&lt;=Simulador!$B$13,ROW()-2,"")</f>
        <v/>
      </c>
      <c r="B196" s="49" t="str">
        <f>IF($A196="","",EDATE(Simulador!$B$10,$A196))</f>
        <v/>
      </c>
      <c r="C196" s="50" t="str">
        <f>IF($A196="","",IF($A196=1,Simulador!$B$11,$F195))</f>
        <v/>
      </c>
      <c r="D196" s="50" t="str">
        <f>IF($A196="","",$C196*Simulador!$B$18)</f>
        <v/>
      </c>
      <c r="E196" s="50" t="str">
        <f>IF($A196="","",MIN(Simulador!$B$19-$D196,$C196))</f>
        <v/>
      </c>
      <c r="F196" s="50" t="str">
        <f>IF($A196="","",MAX(0,$C196-$E196))</f>
        <v/>
      </c>
      <c r="G196" s="50" t="str">
        <f>IF($A196="","",$D196+$E196+Simulador!$B$15)</f>
        <v/>
      </c>
    </row>
    <row r="197" spans="1:7" x14ac:dyDescent="0.3">
      <c r="A197" s="48" t="str">
        <f>IF(ROW()-2&lt;=Simulador!$B$13,ROW()-2,"")</f>
        <v/>
      </c>
      <c r="B197" s="49" t="str">
        <f>IF($A197="","",EDATE(Simulador!$B$10,$A197))</f>
        <v/>
      </c>
      <c r="C197" s="50" t="str">
        <f>IF($A197="","",IF($A197=1,Simulador!$B$11,$F196))</f>
        <v/>
      </c>
      <c r="D197" s="50" t="str">
        <f>IF($A197="","",$C197*Simulador!$B$18)</f>
        <v/>
      </c>
      <c r="E197" s="50" t="str">
        <f>IF($A197="","",MIN(Simulador!$B$19-$D197,$C197))</f>
        <v/>
      </c>
      <c r="F197" s="50" t="str">
        <f>IF($A197="","",MAX(0,$C197-$E197))</f>
        <v/>
      </c>
      <c r="G197" s="50" t="str">
        <f>IF($A197="","",$D197+$E197+Simulador!$B$15)</f>
        <v/>
      </c>
    </row>
    <row r="198" spans="1:7" x14ac:dyDescent="0.3">
      <c r="A198" s="48" t="str">
        <f>IF(ROW()-2&lt;=Simulador!$B$13,ROW()-2,"")</f>
        <v/>
      </c>
      <c r="B198" s="49" t="str">
        <f>IF($A198="","",EDATE(Simulador!$B$10,$A198))</f>
        <v/>
      </c>
      <c r="C198" s="50" t="str">
        <f>IF($A198="","",IF($A198=1,Simulador!$B$11,$F197))</f>
        <v/>
      </c>
      <c r="D198" s="50" t="str">
        <f>IF($A198="","",$C198*Simulador!$B$18)</f>
        <v/>
      </c>
      <c r="E198" s="50" t="str">
        <f>IF($A198="","",MIN(Simulador!$B$19-$D198,$C198))</f>
        <v/>
      </c>
      <c r="F198" s="50" t="str">
        <f>IF($A198="","",MAX(0,$C198-$E198))</f>
        <v/>
      </c>
      <c r="G198" s="50" t="str">
        <f>IF($A198="","",$D198+$E198+Simulador!$B$15)</f>
        <v/>
      </c>
    </row>
    <row r="199" spans="1:7" x14ac:dyDescent="0.3">
      <c r="A199" s="48" t="str">
        <f>IF(ROW()-2&lt;=Simulador!$B$13,ROW()-2,"")</f>
        <v/>
      </c>
      <c r="B199" s="49" t="str">
        <f>IF($A199="","",EDATE(Simulador!$B$10,$A199))</f>
        <v/>
      </c>
      <c r="C199" s="50" t="str">
        <f>IF($A199="","",IF($A199=1,Simulador!$B$11,$F198))</f>
        <v/>
      </c>
      <c r="D199" s="50" t="str">
        <f>IF($A199="","",$C199*Simulador!$B$18)</f>
        <v/>
      </c>
      <c r="E199" s="50" t="str">
        <f>IF($A199="","",MIN(Simulador!$B$19-$D199,$C199))</f>
        <v/>
      </c>
      <c r="F199" s="50" t="str">
        <f>IF($A199="","",MAX(0,$C199-$E199))</f>
        <v/>
      </c>
      <c r="G199" s="50" t="str">
        <f>IF($A199="","",$D199+$E199+Simulador!$B$15)</f>
        <v/>
      </c>
    </row>
    <row r="200" spans="1:7" x14ac:dyDescent="0.3">
      <c r="A200" s="48" t="str">
        <f>IF(ROW()-2&lt;=Simulador!$B$13,ROW()-2,"")</f>
        <v/>
      </c>
      <c r="B200" s="49" t="str">
        <f>IF($A200="","",EDATE(Simulador!$B$10,$A200))</f>
        <v/>
      </c>
      <c r="C200" s="50" t="str">
        <f>IF($A200="","",IF($A200=1,Simulador!$B$11,$F199))</f>
        <v/>
      </c>
      <c r="D200" s="50" t="str">
        <f>IF($A200="","",$C200*Simulador!$B$18)</f>
        <v/>
      </c>
      <c r="E200" s="50" t="str">
        <f>IF($A200="","",MIN(Simulador!$B$19-$D200,$C200))</f>
        <v/>
      </c>
      <c r="F200" s="50" t="str">
        <f>IF($A200="","",MAX(0,$C200-$E200))</f>
        <v/>
      </c>
      <c r="G200" s="50" t="str">
        <f>IF($A200="","",$D200+$E200+Simulador!$B$15)</f>
        <v/>
      </c>
    </row>
    <row r="201" spans="1:7" x14ac:dyDescent="0.3">
      <c r="A201" s="48" t="str">
        <f>IF(ROW()-2&lt;=Simulador!$B$13,ROW()-2,"")</f>
        <v/>
      </c>
      <c r="B201" s="49" t="str">
        <f>IF($A201="","",EDATE(Simulador!$B$10,$A201))</f>
        <v/>
      </c>
      <c r="C201" s="50" t="str">
        <f>IF($A201="","",IF($A201=1,Simulador!$B$11,$F200))</f>
        <v/>
      </c>
      <c r="D201" s="50" t="str">
        <f>IF($A201="","",$C201*Simulador!$B$18)</f>
        <v/>
      </c>
      <c r="E201" s="50" t="str">
        <f>IF($A201="","",MIN(Simulador!$B$19-$D201,$C201))</f>
        <v/>
      </c>
      <c r="F201" s="50" t="str">
        <f>IF($A201="","",MAX(0,$C201-$E201))</f>
        <v/>
      </c>
      <c r="G201" s="50" t="str">
        <f>IF($A201="","",$D201+$E201+Simulador!$B$15)</f>
        <v/>
      </c>
    </row>
    <row r="202" spans="1:7" x14ac:dyDescent="0.3">
      <c r="A202" s="48" t="str">
        <f>IF(ROW()-2&lt;=Simulador!$B$13,ROW()-2,"")</f>
        <v/>
      </c>
      <c r="B202" s="49" t="str">
        <f>IF($A202="","",EDATE(Simulador!$B$10,$A202))</f>
        <v/>
      </c>
      <c r="C202" s="50" t="str">
        <f>IF($A202="","",IF($A202=1,Simulador!$B$11,$F201))</f>
        <v/>
      </c>
      <c r="D202" s="50" t="str">
        <f>IF($A202="","",$C202*Simulador!$B$18)</f>
        <v/>
      </c>
      <c r="E202" s="50" t="str">
        <f>IF($A202="","",MIN(Simulador!$B$19-$D202,$C202))</f>
        <v/>
      </c>
      <c r="F202" s="50" t="str">
        <f>IF($A202="","",MAX(0,$C202-$E202))</f>
        <v/>
      </c>
      <c r="G202" s="50" t="str">
        <f>IF($A202="","",$D202+$E202+Simulador!$B$15)</f>
        <v/>
      </c>
    </row>
    <row r="203" spans="1:7" x14ac:dyDescent="0.3">
      <c r="A203" s="48" t="str">
        <f>IF(ROW()-2&lt;=Simulador!$B$13,ROW()-2,"")</f>
        <v/>
      </c>
      <c r="B203" s="49" t="str">
        <f>IF($A203="","",EDATE(Simulador!$B$10,$A203))</f>
        <v/>
      </c>
      <c r="C203" s="50" t="str">
        <f>IF($A203="","",IF($A203=1,Simulador!$B$11,$F202))</f>
        <v/>
      </c>
      <c r="D203" s="50" t="str">
        <f>IF($A203="","",$C203*Simulador!$B$18)</f>
        <v/>
      </c>
      <c r="E203" s="50" t="str">
        <f>IF($A203="","",MIN(Simulador!$B$19-$D203,$C203))</f>
        <v/>
      </c>
      <c r="F203" s="50" t="str">
        <f>IF($A203="","",MAX(0,$C203-$E203))</f>
        <v/>
      </c>
      <c r="G203" s="50" t="str">
        <f>IF($A203="","",$D203+$E203+Simulador!$B$15)</f>
        <v/>
      </c>
    </row>
    <row r="204" spans="1:7" x14ac:dyDescent="0.3">
      <c r="A204" s="48" t="str">
        <f>IF(ROW()-2&lt;=Simulador!$B$13,ROW()-2,"")</f>
        <v/>
      </c>
      <c r="B204" s="49" t="str">
        <f>IF($A204="","",EDATE(Simulador!$B$10,$A204))</f>
        <v/>
      </c>
      <c r="C204" s="50" t="str">
        <f>IF($A204="","",IF($A204=1,Simulador!$B$11,$F203))</f>
        <v/>
      </c>
      <c r="D204" s="50" t="str">
        <f>IF($A204="","",$C204*Simulador!$B$18)</f>
        <v/>
      </c>
      <c r="E204" s="50" t="str">
        <f>IF($A204="","",MIN(Simulador!$B$19-$D204,$C204))</f>
        <v/>
      </c>
      <c r="F204" s="50" t="str">
        <f>IF($A204="","",MAX(0,$C204-$E204))</f>
        <v/>
      </c>
      <c r="G204" s="50" t="str">
        <f>IF($A204="","",$D204+$E204+Simulador!$B$15)</f>
        <v/>
      </c>
    </row>
    <row r="205" spans="1:7" x14ac:dyDescent="0.3">
      <c r="A205" s="48" t="str">
        <f>IF(ROW()-2&lt;=Simulador!$B$13,ROW()-2,"")</f>
        <v/>
      </c>
      <c r="B205" s="49" t="str">
        <f>IF($A205="","",EDATE(Simulador!$B$10,$A205))</f>
        <v/>
      </c>
      <c r="C205" s="50" t="str">
        <f>IF($A205="","",IF($A205=1,Simulador!$B$11,$F204))</f>
        <v/>
      </c>
      <c r="D205" s="50" t="str">
        <f>IF($A205="","",$C205*Simulador!$B$18)</f>
        <v/>
      </c>
      <c r="E205" s="50" t="str">
        <f>IF($A205="","",MIN(Simulador!$B$19-$D205,$C205))</f>
        <v/>
      </c>
      <c r="F205" s="50" t="str">
        <f>IF($A205="","",MAX(0,$C205-$E205))</f>
        <v/>
      </c>
      <c r="G205" s="50" t="str">
        <f>IF($A205="","",$D205+$E205+Simulador!$B$15)</f>
        <v/>
      </c>
    </row>
    <row r="206" spans="1:7" x14ac:dyDescent="0.3">
      <c r="A206" s="48" t="str">
        <f>IF(ROW()-2&lt;=Simulador!$B$13,ROW()-2,"")</f>
        <v/>
      </c>
      <c r="B206" s="49" t="str">
        <f>IF($A206="","",EDATE(Simulador!$B$10,$A206))</f>
        <v/>
      </c>
      <c r="C206" s="50" t="str">
        <f>IF($A206="","",IF($A206=1,Simulador!$B$11,$F205))</f>
        <v/>
      </c>
      <c r="D206" s="50" t="str">
        <f>IF($A206="","",$C206*Simulador!$B$18)</f>
        <v/>
      </c>
      <c r="E206" s="50" t="str">
        <f>IF($A206="","",MIN(Simulador!$B$19-$D206,$C206))</f>
        <v/>
      </c>
      <c r="F206" s="50" t="str">
        <f>IF($A206="","",MAX(0,$C206-$E206))</f>
        <v/>
      </c>
      <c r="G206" s="50" t="str">
        <f>IF($A206="","",$D206+$E206+Simulador!$B$15)</f>
        <v/>
      </c>
    </row>
    <row r="207" spans="1:7" x14ac:dyDescent="0.3">
      <c r="A207" s="48" t="str">
        <f>IF(ROW()-2&lt;=Simulador!$B$13,ROW()-2,"")</f>
        <v/>
      </c>
      <c r="B207" s="49" t="str">
        <f>IF($A207="","",EDATE(Simulador!$B$10,$A207))</f>
        <v/>
      </c>
      <c r="C207" s="50" t="str">
        <f>IF($A207="","",IF($A207=1,Simulador!$B$11,$F206))</f>
        <v/>
      </c>
      <c r="D207" s="50" t="str">
        <f>IF($A207="","",$C207*Simulador!$B$18)</f>
        <v/>
      </c>
      <c r="E207" s="50" t="str">
        <f>IF($A207="","",MIN(Simulador!$B$19-$D207,$C207))</f>
        <v/>
      </c>
      <c r="F207" s="50" t="str">
        <f>IF($A207="","",MAX(0,$C207-$E207))</f>
        <v/>
      </c>
      <c r="G207" s="50" t="str">
        <f>IF($A207="","",$D207+$E207+Simulador!$B$15)</f>
        <v/>
      </c>
    </row>
    <row r="208" spans="1:7" x14ac:dyDescent="0.3">
      <c r="A208" s="48" t="str">
        <f>IF(ROW()-2&lt;=Simulador!$B$13,ROW()-2,"")</f>
        <v/>
      </c>
      <c r="B208" s="49" t="str">
        <f>IF($A208="","",EDATE(Simulador!$B$10,$A208))</f>
        <v/>
      </c>
      <c r="C208" s="50" t="str">
        <f>IF($A208="","",IF($A208=1,Simulador!$B$11,$F207))</f>
        <v/>
      </c>
      <c r="D208" s="50" t="str">
        <f>IF($A208="","",$C208*Simulador!$B$18)</f>
        <v/>
      </c>
      <c r="E208" s="50" t="str">
        <f>IF($A208="","",MIN(Simulador!$B$19-$D208,$C208))</f>
        <v/>
      </c>
      <c r="F208" s="50" t="str">
        <f>IF($A208="","",MAX(0,$C208-$E208))</f>
        <v/>
      </c>
      <c r="G208" s="50" t="str">
        <f>IF($A208="","",$D208+$E208+Simulador!$B$15)</f>
        <v/>
      </c>
    </row>
    <row r="209" spans="1:7" x14ac:dyDescent="0.3">
      <c r="A209" s="48" t="str">
        <f>IF(ROW()-2&lt;=Simulador!$B$13,ROW()-2,"")</f>
        <v/>
      </c>
      <c r="B209" s="49" t="str">
        <f>IF($A209="","",EDATE(Simulador!$B$10,$A209))</f>
        <v/>
      </c>
      <c r="C209" s="50" t="str">
        <f>IF($A209="","",IF($A209=1,Simulador!$B$11,$F208))</f>
        <v/>
      </c>
      <c r="D209" s="50" t="str">
        <f>IF($A209="","",$C209*Simulador!$B$18)</f>
        <v/>
      </c>
      <c r="E209" s="50" t="str">
        <f>IF($A209="","",MIN(Simulador!$B$19-$D209,$C209))</f>
        <v/>
      </c>
      <c r="F209" s="50" t="str">
        <f>IF($A209="","",MAX(0,$C209-$E209))</f>
        <v/>
      </c>
      <c r="G209" s="50" t="str">
        <f>IF($A209="","",$D209+$E209+Simulador!$B$15)</f>
        <v/>
      </c>
    </row>
    <row r="210" spans="1:7" x14ac:dyDescent="0.3">
      <c r="A210" s="48" t="str">
        <f>IF(ROW()-2&lt;=Simulador!$B$13,ROW()-2,"")</f>
        <v/>
      </c>
      <c r="B210" s="49" t="str">
        <f>IF($A210="","",EDATE(Simulador!$B$10,$A210))</f>
        <v/>
      </c>
      <c r="C210" s="50" t="str">
        <f>IF($A210="","",IF($A210=1,Simulador!$B$11,$F209))</f>
        <v/>
      </c>
      <c r="D210" s="50" t="str">
        <f>IF($A210="","",$C210*Simulador!$B$18)</f>
        <v/>
      </c>
      <c r="E210" s="50" t="str">
        <f>IF($A210="","",MIN(Simulador!$B$19-$D210,$C210))</f>
        <v/>
      </c>
      <c r="F210" s="50" t="str">
        <f>IF($A210="","",MAX(0,$C210-$E210))</f>
        <v/>
      </c>
      <c r="G210" s="50" t="str">
        <f>IF($A210="","",$D210+$E210+Simulador!$B$15)</f>
        <v/>
      </c>
    </row>
    <row r="211" spans="1:7" x14ac:dyDescent="0.3">
      <c r="A211" s="48" t="str">
        <f>IF(ROW()-2&lt;=Simulador!$B$13,ROW()-2,"")</f>
        <v/>
      </c>
      <c r="B211" s="49" t="str">
        <f>IF($A211="","",EDATE(Simulador!$B$10,$A211))</f>
        <v/>
      </c>
      <c r="C211" s="50" t="str">
        <f>IF($A211="","",IF($A211=1,Simulador!$B$11,$F210))</f>
        <v/>
      </c>
      <c r="D211" s="50" t="str">
        <f>IF($A211="","",$C211*Simulador!$B$18)</f>
        <v/>
      </c>
      <c r="E211" s="50" t="str">
        <f>IF($A211="","",MIN(Simulador!$B$19-$D211,$C211))</f>
        <v/>
      </c>
      <c r="F211" s="50" t="str">
        <f>IF($A211="","",MAX(0,$C211-$E211))</f>
        <v/>
      </c>
      <c r="G211" s="50" t="str">
        <f>IF($A211="","",$D211+$E211+Simulador!$B$15)</f>
        <v/>
      </c>
    </row>
    <row r="212" spans="1:7" x14ac:dyDescent="0.3">
      <c r="A212" s="48" t="str">
        <f>IF(ROW()-2&lt;=Simulador!$B$13,ROW()-2,"")</f>
        <v/>
      </c>
      <c r="B212" s="49" t="str">
        <f>IF($A212="","",EDATE(Simulador!$B$10,$A212))</f>
        <v/>
      </c>
      <c r="C212" s="50" t="str">
        <f>IF($A212="","",IF($A212=1,Simulador!$B$11,$F211))</f>
        <v/>
      </c>
      <c r="D212" s="50" t="str">
        <f>IF($A212="","",$C212*Simulador!$B$18)</f>
        <v/>
      </c>
      <c r="E212" s="50" t="str">
        <f>IF($A212="","",MIN(Simulador!$B$19-$D212,$C212))</f>
        <v/>
      </c>
      <c r="F212" s="50" t="str">
        <f>IF($A212="","",MAX(0,$C212-$E212))</f>
        <v/>
      </c>
      <c r="G212" s="50" t="str">
        <f>IF($A212="","",$D212+$E212+Simulador!$B$15)</f>
        <v/>
      </c>
    </row>
    <row r="213" spans="1:7" x14ac:dyDescent="0.3">
      <c r="A213" s="48" t="str">
        <f>IF(ROW()-2&lt;=Simulador!$B$13,ROW()-2,"")</f>
        <v/>
      </c>
      <c r="B213" s="49" t="str">
        <f>IF($A213="","",EDATE(Simulador!$B$10,$A213))</f>
        <v/>
      </c>
      <c r="C213" s="50" t="str">
        <f>IF($A213="","",IF($A213=1,Simulador!$B$11,$F212))</f>
        <v/>
      </c>
      <c r="D213" s="50" t="str">
        <f>IF($A213="","",$C213*Simulador!$B$18)</f>
        <v/>
      </c>
      <c r="E213" s="50" t="str">
        <f>IF($A213="","",MIN(Simulador!$B$19-$D213,$C213))</f>
        <v/>
      </c>
      <c r="F213" s="50" t="str">
        <f>IF($A213="","",MAX(0,$C213-$E213))</f>
        <v/>
      </c>
      <c r="G213" s="50" t="str">
        <f>IF($A213="","",$D213+$E213+Simulador!$B$15)</f>
        <v/>
      </c>
    </row>
    <row r="214" spans="1:7" x14ac:dyDescent="0.3">
      <c r="A214" s="48" t="str">
        <f>IF(ROW()-2&lt;=Simulador!$B$13,ROW()-2,"")</f>
        <v/>
      </c>
      <c r="B214" s="49" t="str">
        <f>IF($A214="","",EDATE(Simulador!$B$10,$A214))</f>
        <v/>
      </c>
      <c r="C214" s="50" t="str">
        <f>IF($A214="","",IF($A214=1,Simulador!$B$11,$F213))</f>
        <v/>
      </c>
      <c r="D214" s="50" t="str">
        <f>IF($A214="","",$C214*Simulador!$B$18)</f>
        <v/>
      </c>
      <c r="E214" s="50" t="str">
        <f>IF($A214="","",MIN(Simulador!$B$19-$D214,$C214))</f>
        <v/>
      </c>
      <c r="F214" s="50" t="str">
        <f>IF($A214="","",MAX(0,$C214-$E214))</f>
        <v/>
      </c>
      <c r="G214" s="50" t="str">
        <f>IF($A214="","",$D214+$E214+Simulador!$B$15)</f>
        <v/>
      </c>
    </row>
    <row r="215" spans="1:7" x14ac:dyDescent="0.3">
      <c r="A215" s="48" t="str">
        <f>IF(ROW()-2&lt;=Simulador!$B$13,ROW()-2,"")</f>
        <v/>
      </c>
      <c r="B215" s="49" t="str">
        <f>IF($A215="","",EDATE(Simulador!$B$10,$A215))</f>
        <v/>
      </c>
      <c r="C215" s="50" t="str">
        <f>IF($A215="","",IF($A215=1,Simulador!$B$11,$F214))</f>
        <v/>
      </c>
      <c r="D215" s="50" t="str">
        <f>IF($A215="","",$C215*Simulador!$B$18)</f>
        <v/>
      </c>
      <c r="E215" s="50" t="str">
        <f>IF($A215="","",MIN(Simulador!$B$19-$D215,$C215))</f>
        <v/>
      </c>
      <c r="F215" s="50" t="str">
        <f>IF($A215="","",MAX(0,$C215-$E215))</f>
        <v/>
      </c>
      <c r="G215" s="50" t="str">
        <f>IF($A215="","",$D215+$E215+Simulador!$B$15)</f>
        <v/>
      </c>
    </row>
    <row r="216" spans="1:7" x14ac:dyDescent="0.3">
      <c r="A216" s="48" t="str">
        <f>IF(ROW()-2&lt;=Simulador!$B$13,ROW()-2,"")</f>
        <v/>
      </c>
      <c r="B216" s="49" t="str">
        <f>IF($A216="","",EDATE(Simulador!$B$10,$A216))</f>
        <v/>
      </c>
      <c r="C216" s="50" t="str">
        <f>IF($A216="","",IF($A216=1,Simulador!$B$11,$F215))</f>
        <v/>
      </c>
      <c r="D216" s="50" t="str">
        <f>IF($A216="","",$C216*Simulador!$B$18)</f>
        <v/>
      </c>
      <c r="E216" s="50" t="str">
        <f>IF($A216="","",MIN(Simulador!$B$19-$D216,$C216))</f>
        <v/>
      </c>
      <c r="F216" s="50" t="str">
        <f>IF($A216="","",MAX(0,$C216-$E216))</f>
        <v/>
      </c>
      <c r="G216" s="50" t="str">
        <f>IF($A216="","",$D216+$E216+Simulador!$B$15)</f>
        <v/>
      </c>
    </row>
    <row r="217" spans="1:7" x14ac:dyDescent="0.3">
      <c r="A217" s="48" t="str">
        <f>IF(ROW()-2&lt;=Simulador!$B$13,ROW()-2,"")</f>
        <v/>
      </c>
      <c r="B217" s="49" t="str">
        <f>IF($A217="","",EDATE(Simulador!$B$10,$A217))</f>
        <v/>
      </c>
      <c r="C217" s="50" t="str">
        <f>IF($A217="","",IF($A217=1,Simulador!$B$11,$F216))</f>
        <v/>
      </c>
      <c r="D217" s="50" t="str">
        <f>IF($A217="","",$C217*Simulador!$B$18)</f>
        <v/>
      </c>
      <c r="E217" s="50" t="str">
        <f>IF($A217="","",MIN(Simulador!$B$19-$D217,$C217))</f>
        <v/>
      </c>
      <c r="F217" s="50" t="str">
        <f>IF($A217="","",MAX(0,$C217-$E217))</f>
        <v/>
      </c>
      <c r="G217" s="50" t="str">
        <f>IF($A217="","",$D217+$E217+Simulador!$B$15)</f>
        <v/>
      </c>
    </row>
    <row r="218" spans="1:7" x14ac:dyDescent="0.3">
      <c r="A218" s="48" t="str">
        <f>IF(ROW()-2&lt;=Simulador!$B$13,ROW()-2,"")</f>
        <v/>
      </c>
      <c r="B218" s="49" t="str">
        <f>IF($A218="","",EDATE(Simulador!$B$10,$A218))</f>
        <v/>
      </c>
      <c r="C218" s="50" t="str">
        <f>IF($A218="","",IF($A218=1,Simulador!$B$11,$F217))</f>
        <v/>
      </c>
      <c r="D218" s="50" t="str">
        <f>IF($A218="","",$C218*Simulador!$B$18)</f>
        <v/>
      </c>
      <c r="E218" s="50" t="str">
        <f>IF($A218="","",MIN(Simulador!$B$19-$D218,$C218))</f>
        <v/>
      </c>
      <c r="F218" s="50" t="str">
        <f>IF($A218="","",MAX(0,$C218-$E218))</f>
        <v/>
      </c>
      <c r="G218" s="50" t="str">
        <f>IF($A218="","",$D218+$E218+Simulador!$B$15)</f>
        <v/>
      </c>
    </row>
    <row r="219" spans="1:7" x14ac:dyDescent="0.3">
      <c r="A219" s="48" t="str">
        <f>IF(ROW()-2&lt;=Simulador!$B$13,ROW()-2,"")</f>
        <v/>
      </c>
      <c r="B219" s="49" t="str">
        <f>IF($A219="","",EDATE(Simulador!$B$10,$A219))</f>
        <v/>
      </c>
      <c r="C219" s="50" t="str">
        <f>IF($A219="","",IF($A219=1,Simulador!$B$11,$F218))</f>
        <v/>
      </c>
      <c r="D219" s="50" t="str">
        <f>IF($A219="","",$C219*Simulador!$B$18)</f>
        <v/>
      </c>
      <c r="E219" s="50" t="str">
        <f>IF($A219="","",MIN(Simulador!$B$19-$D219,$C219))</f>
        <v/>
      </c>
      <c r="F219" s="50" t="str">
        <f>IF($A219="","",MAX(0,$C219-$E219))</f>
        <v/>
      </c>
      <c r="G219" s="50" t="str">
        <f>IF($A219="","",$D219+$E219+Simulador!$B$15)</f>
        <v/>
      </c>
    </row>
    <row r="220" spans="1:7" x14ac:dyDescent="0.3">
      <c r="A220" s="48" t="str">
        <f>IF(ROW()-2&lt;=Simulador!$B$13,ROW()-2,"")</f>
        <v/>
      </c>
      <c r="B220" s="49" t="str">
        <f>IF($A220="","",EDATE(Simulador!$B$10,$A220))</f>
        <v/>
      </c>
      <c r="C220" s="50" t="str">
        <f>IF($A220="","",IF($A220=1,Simulador!$B$11,$F219))</f>
        <v/>
      </c>
      <c r="D220" s="50" t="str">
        <f>IF($A220="","",$C220*Simulador!$B$18)</f>
        <v/>
      </c>
      <c r="E220" s="50" t="str">
        <f>IF($A220="","",MIN(Simulador!$B$19-$D220,$C220))</f>
        <v/>
      </c>
      <c r="F220" s="50" t="str">
        <f>IF($A220="","",MAX(0,$C220-$E220))</f>
        <v/>
      </c>
      <c r="G220" s="50" t="str">
        <f>IF($A220="","",$D220+$E220+Simulador!$B$15)</f>
        <v/>
      </c>
    </row>
    <row r="221" spans="1:7" x14ac:dyDescent="0.3">
      <c r="A221" s="48" t="str">
        <f>IF(ROW()-2&lt;=Simulador!$B$13,ROW()-2,"")</f>
        <v/>
      </c>
      <c r="B221" s="49" t="str">
        <f>IF($A221="","",EDATE(Simulador!$B$10,$A221))</f>
        <v/>
      </c>
      <c r="C221" s="50" t="str">
        <f>IF($A221="","",IF($A221=1,Simulador!$B$11,$F220))</f>
        <v/>
      </c>
      <c r="D221" s="50" t="str">
        <f>IF($A221="","",$C221*Simulador!$B$18)</f>
        <v/>
      </c>
      <c r="E221" s="50" t="str">
        <f>IF($A221="","",MIN(Simulador!$B$19-$D221,$C221))</f>
        <v/>
      </c>
      <c r="F221" s="50" t="str">
        <f>IF($A221="","",MAX(0,$C221-$E221))</f>
        <v/>
      </c>
      <c r="G221" s="50" t="str">
        <f>IF($A221="","",$D221+$E221+Simulador!$B$15)</f>
        <v/>
      </c>
    </row>
    <row r="222" spans="1:7" x14ac:dyDescent="0.3">
      <c r="A222" s="48" t="str">
        <f>IF(ROW()-2&lt;=Simulador!$B$13,ROW()-2,"")</f>
        <v/>
      </c>
      <c r="B222" s="49" t="str">
        <f>IF($A222="","",EDATE(Simulador!$B$10,$A222))</f>
        <v/>
      </c>
      <c r="C222" s="50" t="str">
        <f>IF($A222="","",IF($A222=1,Simulador!$B$11,$F221))</f>
        <v/>
      </c>
      <c r="D222" s="50" t="str">
        <f>IF($A222="","",$C222*Simulador!$B$18)</f>
        <v/>
      </c>
      <c r="E222" s="50" t="str">
        <f>IF($A222="","",MIN(Simulador!$B$19-$D222,$C222))</f>
        <v/>
      </c>
      <c r="F222" s="50" t="str">
        <f>IF($A222="","",MAX(0,$C222-$E222))</f>
        <v/>
      </c>
      <c r="G222" s="50" t="str">
        <f>IF($A222="","",$D222+$E222+Simulador!$B$15)</f>
        <v/>
      </c>
    </row>
    <row r="223" spans="1:7" x14ac:dyDescent="0.3">
      <c r="A223" s="48" t="str">
        <f>IF(ROW()-2&lt;=Simulador!$B$13,ROW()-2,"")</f>
        <v/>
      </c>
      <c r="B223" s="49" t="str">
        <f>IF($A223="","",EDATE(Simulador!$B$10,$A223))</f>
        <v/>
      </c>
      <c r="C223" s="50" t="str">
        <f>IF($A223="","",IF($A223=1,Simulador!$B$11,$F222))</f>
        <v/>
      </c>
      <c r="D223" s="50" t="str">
        <f>IF($A223="","",$C223*Simulador!$B$18)</f>
        <v/>
      </c>
      <c r="E223" s="50" t="str">
        <f>IF($A223="","",MIN(Simulador!$B$19-$D223,$C223))</f>
        <v/>
      </c>
      <c r="F223" s="50" t="str">
        <f>IF($A223="","",MAX(0,$C223-$E223))</f>
        <v/>
      </c>
      <c r="G223" s="50" t="str">
        <f>IF($A223="","",$D223+$E223+Simulador!$B$15)</f>
        <v/>
      </c>
    </row>
    <row r="224" spans="1:7" x14ac:dyDescent="0.3">
      <c r="A224" s="48" t="str">
        <f>IF(ROW()-2&lt;=Simulador!$B$13,ROW()-2,"")</f>
        <v/>
      </c>
      <c r="B224" s="49" t="str">
        <f>IF($A224="","",EDATE(Simulador!$B$10,$A224))</f>
        <v/>
      </c>
      <c r="C224" s="50" t="str">
        <f>IF($A224="","",IF($A224=1,Simulador!$B$11,$F223))</f>
        <v/>
      </c>
      <c r="D224" s="50" t="str">
        <f>IF($A224="","",$C224*Simulador!$B$18)</f>
        <v/>
      </c>
      <c r="E224" s="50" t="str">
        <f>IF($A224="","",MIN(Simulador!$B$19-$D224,$C224))</f>
        <v/>
      </c>
      <c r="F224" s="50" t="str">
        <f>IF($A224="","",MAX(0,$C224-$E224))</f>
        <v/>
      </c>
      <c r="G224" s="50" t="str">
        <f>IF($A224="","",$D224+$E224+Simulador!$B$15)</f>
        <v/>
      </c>
    </row>
    <row r="225" spans="1:7" x14ac:dyDescent="0.3">
      <c r="A225" s="48" t="str">
        <f>IF(ROW()-2&lt;=Simulador!$B$13,ROW()-2,"")</f>
        <v/>
      </c>
      <c r="B225" s="49" t="str">
        <f>IF($A225="","",EDATE(Simulador!$B$10,$A225))</f>
        <v/>
      </c>
      <c r="C225" s="50" t="str">
        <f>IF($A225="","",IF($A225=1,Simulador!$B$11,$F224))</f>
        <v/>
      </c>
      <c r="D225" s="50" t="str">
        <f>IF($A225="","",$C225*Simulador!$B$18)</f>
        <v/>
      </c>
      <c r="E225" s="50" t="str">
        <f>IF($A225="","",MIN(Simulador!$B$19-$D225,$C225))</f>
        <v/>
      </c>
      <c r="F225" s="50" t="str">
        <f>IF($A225="","",MAX(0,$C225-$E225))</f>
        <v/>
      </c>
      <c r="G225" s="50" t="str">
        <f>IF($A225="","",$D225+$E225+Simulador!$B$15)</f>
        <v/>
      </c>
    </row>
    <row r="226" spans="1:7" x14ac:dyDescent="0.3">
      <c r="A226" s="48" t="str">
        <f>IF(ROW()-2&lt;=Simulador!$B$13,ROW()-2,"")</f>
        <v/>
      </c>
      <c r="B226" s="49" t="str">
        <f>IF($A226="","",EDATE(Simulador!$B$10,$A226))</f>
        <v/>
      </c>
      <c r="C226" s="50" t="str">
        <f>IF($A226="","",IF($A226=1,Simulador!$B$11,$F225))</f>
        <v/>
      </c>
      <c r="D226" s="50" t="str">
        <f>IF($A226="","",$C226*Simulador!$B$18)</f>
        <v/>
      </c>
      <c r="E226" s="50" t="str">
        <f>IF($A226="","",MIN(Simulador!$B$19-$D226,$C226))</f>
        <v/>
      </c>
      <c r="F226" s="50" t="str">
        <f>IF($A226="","",MAX(0,$C226-$E226))</f>
        <v/>
      </c>
      <c r="G226" s="50" t="str">
        <f>IF($A226="","",$D226+$E226+Simulador!$B$15)</f>
        <v/>
      </c>
    </row>
    <row r="227" spans="1:7" x14ac:dyDescent="0.3">
      <c r="A227" s="48" t="str">
        <f>IF(ROW()-2&lt;=Simulador!$B$13,ROW()-2,"")</f>
        <v/>
      </c>
      <c r="B227" s="49" t="str">
        <f>IF($A227="","",EDATE(Simulador!$B$10,$A227))</f>
        <v/>
      </c>
      <c r="C227" s="50" t="str">
        <f>IF($A227="","",IF($A227=1,Simulador!$B$11,$F226))</f>
        <v/>
      </c>
      <c r="D227" s="50" t="str">
        <f>IF($A227="","",$C227*Simulador!$B$18)</f>
        <v/>
      </c>
      <c r="E227" s="50" t="str">
        <f>IF($A227="","",MIN(Simulador!$B$19-$D227,$C227))</f>
        <v/>
      </c>
      <c r="F227" s="50" t="str">
        <f>IF($A227="","",MAX(0,$C227-$E227))</f>
        <v/>
      </c>
      <c r="G227" s="50" t="str">
        <f>IF($A227="","",$D227+$E227+Simulador!$B$15)</f>
        <v/>
      </c>
    </row>
    <row r="228" spans="1:7" x14ac:dyDescent="0.3">
      <c r="A228" s="48" t="str">
        <f>IF(ROW()-2&lt;=Simulador!$B$13,ROW()-2,"")</f>
        <v/>
      </c>
      <c r="B228" s="49" t="str">
        <f>IF($A228="","",EDATE(Simulador!$B$10,$A228))</f>
        <v/>
      </c>
      <c r="C228" s="50" t="str">
        <f>IF($A228="","",IF($A228=1,Simulador!$B$11,$F227))</f>
        <v/>
      </c>
      <c r="D228" s="50" t="str">
        <f>IF($A228="","",$C228*Simulador!$B$18)</f>
        <v/>
      </c>
      <c r="E228" s="50" t="str">
        <f>IF($A228="","",MIN(Simulador!$B$19-$D228,$C228))</f>
        <v/>
      </c>
      <c r="F228" s="50" t="str">
        <f>IF($A228="","",MAX(0,$C228-$E228))</f>
        <v/>
      </c>
      <c r="G228" s="50" t="str">
        <f>IF($A228="","",$D228+$E228+Simulador!$B$15)</f>
        <v/>
      </c>
    </row>
    <row r="229" spans="1:7" x14ac:dyDescent="0.3">
      <c r="A229" s="48" t="str">
        <f>IF(ROW()-2&lt;=Simulador!$B$13,ROW()-2,"")</f>
        <v/>
      </c>
      <c r="B229" s="49" t="str">
        <f>IF($A229="","",EDATE(Simulador!$B$10,$A229))</f>
        <v/>
      </c>
      <c r="C229" s="50" t="str">
        <f>IF($A229="","",IF($A229=1,Simulador!$B$11,$F228))</f>
        <v/>
      </c>
      <c r="D229" s="50" t="str">
        <f>IF($A229="","",$C229*Simulador!$B$18)</f>
        <v/>
      </c>
      <c r="E229" s="50" t="str">
        <f>IF($A229="","",MIN(Simulador!$B$19-$D229,$C229))</f>
        <v/>
      </c>
      <c r="F229" s="50" t="str">
        <f>IF($A229="","",MAX(0,$C229-$E229))</f>
        <v/>
      </c>
      <c r="G229" s="50" t="str">
        <f>IF($A229="","",$D229+$E229+Simulador!$B$15)</f>
        <v/>
      </c>
    </row>
    <row r="230" spans="1:7" x14ac:dyDescent="0.3">
      <c r="A230" s="48" t="str">
        <f>IF(ROW()-2&lt;=Simulador!$B$13,ROW()-2,"")</f>
        <v/>
      </c>
      <c r="B230" s="49" t="str">
        <f>IF($A230="","",EDATE(Simulador!$B$10,$A230))</f>
        <v/>
      </c>
      <c r="C230" s="50" t="str">
        <f>IF($A230="","",IF($A230=1,Simulador!$B$11,$F229))</f>
        <v/>
      </c>
      <c r="D230" s="50" t="str">
        <f>IF($A230="","",$C230*Simulador!$B$18)</f>
        <v/>
      </c>
      <c r="E230" s="50" t="str">
        <f>IF($A230="","",MIN(Simulador!$B$19-$D230,$C230))</f>
        <v/>
      </c>
      <c r="F230" s="50" t="str">
        <f>IF($A230="","",MAX(0,$C230-$E230))</f>
        <v/>
      </c>
      <c r="G230" s="50" t="str">
        <f>IF($A230="","",$D230+$E230+Simulador!$B$15)</f>
        <v/>
      </c>
    </row>
    <row r="231" spans="1:7" x14ac:dyDescent="0.3">
      <c r="A231" s="48" t="str">
        <f>IF(ROW()-2&lt;=Simulador!$B$13,ROW()-2,"")</f>
        <v/>
      </c>
      <c r="B231" s="49" t="str">
        <f>IF($A231="","",EDATE(Simulador!$B$10,$A231))</f>
        <v/>
      </c>
      <c r="C231" s="50" t="str">
        <f>IF($A231="","",IF($A231=1,Simulador!$B$11,$F230))</f>
        <v/>
      </c>
      <c r="D231" s="50" t="str">
        <f>IF($A231="","",$C231*Simulador!$B$18)</f>
        <v/>
      </c>
      <c r="E231" s="50" t="str">
        <f>IF($A231="","",MIN(Simulador!$B$19-$D231,$C231))</f>
        <v/>
      </c>
      <c r="F231" s="50" t="str">
        <f>IF($A231="","",MAX(0,$C231-$E231))</f>
        <v/>
      </c>
      <c r="G231" s="50" t="str">
        <f>IF($A231="","",$D231+$E231+Simulador!$B$15)</f>
        <v/>
      </c>
    </row>
    <row r="232" spans="1:7" x14ac:dyDescent="0.3">
      <c r="A232" s="48" t="str">
        <f>IF(ROW()-2&lt;=Simulador!$B$13,ROW()-2,"")</f>
        <v/>
      </c>
      <c r="B232" s="49" t="str">
        <f>IF($A232="","",EDATE(Simulador!$B$10,$A232))</f>
        <v/>
      </c>
      <c r="C232" s="50" t="str">
        <f>IF($A232="","",IF($A232=1,Simulador!$B$11,$F231))</f>
        <v/>
      </c>
      <c r="D232" s="50" t="str">
        <f>IF($A232="","",$C232*Simulador!$B$18)</f>
        <v/>
      </c>
      <c r="E232" s="50" t="str">
        <f>IF($A232="","",MIN(Simulador!$B$19-$D232,$C232))</f>
        <v/>
      </c>
      <c r="F232" s="50" t="str">
        <f>IF($A232="","",MAX(0,$C232-$E232))</f>
        <v/>
      </c>
      <c r="G232" s="50" t="str">
        <f>IF($A232="","",$D232+$E232+Simulador!$B$15)</f>
        <v/>
      </c>
    </row>
    <row r="233" spans="1:7" x14ac:dyDescent="0.3">
      <c r="A233" s="48" t="str">
        <f>IF(ROW()-2&lt;=Simulador!$B$13,ROW()-2,"")</f>
        <v/>
      </c>
      <c r="B233" s="49" t="str">
        <f>IF($A233="","",EDATE(Simulador!$B$10,$A233))</f>
        <v/>
      </c>
      <c r="C233" s="50" t="str">
        <f>IF($A233="","",IF($A233=1,Simulador!$B$11,$F232))</f>
        <v/>
      </c>
      <c r="D233" s="50" t="str">
        <f>IF($A233="","",$C233*Simulador!$B$18)</f>
        <v/>
      </c>
      <c r="E233" s="50" t="str">
        <f>IF($A233="","",MIN(Simulador!$B$19-$D233,$C233))</f>
        <v/>
      </c>
      <c r="F233" s="50" t="str">
        <f>IF($A233="","",MAX(0,$C233-$E233))</f>
        <v/>
      </c>
      <c r="G233" s="50" t="str">
        <f>IF($A233="","",$D233+$E233+Simulador!$B$15)</f>
        <v/>
      </c>
    </row>
    <row r="234" spans="1:7" x14ac:dyDescent="0.3">
      <c r="A234" s="48" t="str">
        <f>IF(ROW()-2&lt;=Simulador!$B$13,ROW()-2,"")</f>
        <v/>
      </c>
      <c r="B234" s="49" t="str">
        <f>IF($A234="","",EDATE(Simulador!$B$10,$A234))</f>
        <v/>
      </c>
      <c r="C234" s="50" t="str">
        <f>IF($A234="","",IF($A234=1,Simulador!$B$11,$F233))</f>
        <v/>
      </c>
      <c r="D234" s="50" t="str">
        <f>IF($A234="","",$C234*Simulador!$B$18)</f>
        <v/>
      </c>
      <c r="E234" s="50" t="str">
        <f>IF($A234="","",MIN(Simulador!$B$19-$D234,$C234))</f>
        <v/>
      </c>
      <c r="F234" s="50" t="str">
        <f>IF($A234="","",MAX(0,$C234-$E234))</f>
        <v/>
      </c>
      <c r="G234" s="50" t="str">
        <f>IF($A234="","",$D234+$E234+Simulador!$B$15)</f>
        <v/>
      </c>
    </row>
    <row r="235" spans="1:7" x14ac:dyDescent="0.3">
      <c r="A235" s="48" t="str">
        <f>IF(ROW()-2&lt;=Simulador!$B$13,ROW()-2,"")</f>
        <v/>
      </c>
      <c r="B235" s="49" t="str">
        <f>IF($A235="","",EDATE(Simulador!$B$10,$A235))</f>
        <v/>
      </c>
      <c r="C235" s="50" t="str">
        <f>IF($A235="","",IF($A235=1,Simulador!$B$11,$F234))</f>
        <v/>
      </c>
      <c r="D235" s="50" t="str">
        <f>IF($A235="","",$C235*Simulador!$B$18)</f>
        <v/>
      </c>
      <c r="E235" s="50" t="str">
        <f>IF($A235="","",MIN(Simulador!$B$19-$D235,$C235))</f>
        <v/>
      </c>
      <c r="F235" s="50" t="str">
        <f>IF($A235="","",MAX(0,$C235-$E235))</f>
        <v/>
      </c>
      <c r="G235" s="50" t="str">
        <f>IF($A235="","",$D235+$E235+Simulador!$B$15)</f>
        <v/>
      </c>
    </row>
    <row r="236" spans="1:7" x14ac:dyDescent="0.3">
      <c r="A236" s="48" t="str">
        <f>IF(ROW()-2&lt;=Simulador!$B$13,ROW()-2,"")</f>
        <v/>
      </c>
      <c r="B236" s="49" t="str">
        <f>IF($A236="","",EDATE(Simulador!$B$10,$A236))</f>
        <v/>
      </c>
      <c r="C236" s="50" t="str">
        <f>IF($A236="","",IF($A236=1,Simulador!$B$11,$F235))</f>
        <v/>
      </c>
      <c r="D236" s="50" t="str">
        <f>IF($A236="","",$C236*Simulador!$B$18)</f>
        <v/>
      </c>
      <c r="E236" s="50" t="str">
        <f>IF($A236="","",MIN(Simulador!$B$19-$D236,$C236))</f>
        <v/>
      </c>
      <c r="F236" s="50" t="str">
        <f>IF($A236="","",MAX(0,$C236-$E236))</f>
        <v/>
      </c>
      <c r="G236" s="50" t="str">
        <f>IF($A236="","",$D236+$E236+Simulador!$B$15)</f>
        <v/>
      </c>
    </row>
    <row r="237" spans="1:7" x14ac:dyDescent="0.3">
      <c r="A237" s="48" t="str">
        <f>IF(ROW()-2&lt;=Simulador!$B$13,ROW()-2,"")</f>
        <v/>
      </c>
      <c r="B237" s="49" t="str">
        <f>IF($A237="","",EDATE(Simulador!$B$10,$A237))</f>
        <v/>
      </c>
      <c r="C237" s="50" t="str">
        <f>IF($A237="","",IF($A237=1,Simulador!$B$11,$F236))</f>
        <v/>
      </c>
      <c r="D237" s="50" t="str">
        <f>IF($A237="","",$C237*Simulador!$B$18)</f>
        <v/>
      </c>
      <c r="E237" s="50" t="str">
        <f>IF($A237="","",MIN(Simulador!$B$19-$D237,$C237))</f>
        <v/>
      </c>
      <c r="F237" s="50" t="str">
        <f>IF($A237="","",MAX(0,$C237-$E237))</f>
        <v/>
      </c>
      <c r="G237" s="50" t="str">
        <f>IF($A237="","",$D237+$E237+Simulador!$B$15)</f>
        <v/>
      </c>
    </row>
    <row r="238" spans="1:7" x14ac:dyDescent="0.3">
      <c r="A238" s="48" t="str">
        <f>IF(ROW()-2&lt;=Simulador!$B$13,ROW()-2,"")</f>
        <v/>
      </c>
      <c r="B238" s="49" t="str">
        <f>IF($A238="","",EDATE(Simulador!$B$10,$A238))</f>
        <v/>
      </c>
      <c r="C238" s="50" t="str">
        <f>IF($A238="","",IF($A238=1,Simulador!$B$11,$F237))</f>
        <v/>
      </c>
      <c r="D238" s="50" t="str">
        <f>IF($A238="","",$C238*Simulador!$B$18)</f>
        <v/>
      </c>
      <c r="E238" s="50" t="str">
        <f>IF($A238="","",MIN(Simulador!$B$19-$D238,$C238))</f>
        <v/>
      </c>
      <c r="F238" s="50" t="str">
        <f>IF($A238="","",MAX(0,$C238-$E238))</f>
        <v/>
      </c>
      <c r="G238" s="50" t="str">
        <f>IF($A238="","",$D238+$E238+Simulador!$B$15)</f>
        <v/>
      </c>
    </row>
    <row r="239" spans="1:7" x14ac:dyDescent="0.3">
      <c r="A239" s="48" t="str">
        <f>IF(ROW()-2&lt;=Simulador!$B$13,ROW()-2,"")</f>
        <v/>
      </c>
      <c r="B239" s="49" t="str">
        <f>IF($A239="","",EDATE(Simulador!$B$10,$A239))</f>
        <v/>
      </c>
      <c r="C239" s="50" t="str">
        <f>IF($A239="","",IF($A239=1,Simulador!$B$11,$F238))</f>
        <v/>
      </c>
      <c r="D239" s="50" t="str">
        <f>IF($A239="","",$C239*Simulador!$B$18)</f>
        <v/>
      </c>
      <c r="E239" s="50" t="str">
        <f>IF($A239="","",MIN(Simulador!$B$19-$D239,$C239))</f>
        <v/>
      </c>
      <c r="F239" s="50" t="str">
        <f>IF($A239="","",MAX(0,$C239-$E239))</f>
        <v/>
      </c>
      <c r="G239" s="50" t="str">
        <f>IF($A239="","",$D239+$E239+Simulador!$B$15)</f>
        <v/>
      </c>
    </row>
    <row r="240" spans="1:7" x14ac:dyDescent="0.3">
      <c r="A240" s="48" t="str">
        <f>IF(ROW()-2&lt;=Simulador!$B$13,ROW()-2,"")</f>
        <v/>
      </c>
      <c r="B240" s="49" t="str">
        <f>IF($A240="","",EDATE(Simulador!$B$10,$A240))</f>
        <v/>
      </c>
      <c r="C240" s="50" t="str">
        <f>IF($A240="","",IF($A240=1,Simulador!$B$11,$F239))</f>
        <v/>
      </c>
      <c r="D240" s="50" t="str">
        <f>IF($A240="","",$C240*Simulador!$B$18)</f>
        <v/>
      </c>
      <c r="E240" s="50" t="str">
        <f>IF($A240="","",MIN(Simulador!$B$19-$D240,$C240))</f>
        <v/>
      </c>
      <c r="F240" s="50" t="str">
        <f>IF($A240="","",MAX(0,$C240-$E240))</f>
        <v/>
      </c>
      <c r="G240" s="50" t="str">
        <f>IF($A240="","",$D240+$E240+Simulador!$B$15)</f>
        <v/>
      </c>
    </row>
    <row r="241" spans="1:7" x14ac:dyDescent="0.3">
      <c r="A241" s="48" t="str">
        <f>IF(ROW()-2&lt;=Simulador!$B$13,ROW()-2,"")</f>
        <v/>
      </c>
      <c r="B241" s="49" t="str">
        <f>IF($A241="","",EDATE(Simulador!$B$10,$A241))</f>
        <v/>
      </c>
      <c r="C241" s="50" t="str">
        <f>IF($A241="","",IF($A241=1,Simulador!$B$11,$F240))</f>
        <v/>
      </c>
      <c r="D241" s="50" t="str">
        <f>IF($A241="","",$C241*Simulador!$B$18)</f>
        <v/>
      </c>
      <c r="E241" s="50" t="str">
        <f>IF($A241="","",MIN(Simulador!$B$19-$D241,$C241))</f>
        <v/>
      </c>
      <c r="F241" s="50" t="str">
        <f>IF($A241="","",MAX(0,$C241-$E241))</f>
        <v/>
      </c>
      <c r="G241" s="50" t="str">
        <f>IF($A241="","",$D241+$E241+Simulador!$B$15)</f>
        <v/>
      </c>
    </row>
    <row r="242" spans="1:7" x14ac:dyDescent="0.3">
      <c r="A242" s="48" t="str">
        <f>IF(ROW()-2&lt;=Simulador!$B$13,ROW()-2,"")</f>
        <v/>
      </c>
      <c r="B242" s="49" t="str">
        <f>IF($A242="","",EDATE(Simulador!$B$10,$A242))</f>
        <v/>
      </c>
      <c r="C242" s="50" t="str">
        <f>IF($A242="","",IF($A242=1,Simulador!$B$11,$F241))</f>
        <v/>
      </c>
      <c r="D242" s="50" t="str">
        <f>IF($A242="","",$C242*Simulador!$B$18)</f>
        <v/>
      </c>
      <c r="E242" s="50" t="str">
        <f>IF($A242="","",MIN(Simulador!$B$19-$D242,$C242))</f>
        <v/>
      </c>
      <c r="F242" s="50" t="str">
        <f>IF($A242="","",MAX(0,$C242-$E242))</f>
        <v/>
      </c>
      <c r="G242" s="50" t="str">
        <f>IF($A242="","",$D242+$E242+Simulador!$B$15)</f>
        <v/>
      </c>
    </row>
    <row r="243" spans="1:7" x14ac:dyDescent="0.3">
      <c r="A243" s="48" t="str">
        <f>IF(ROW()-2&lt;=Simulador!$B$13,ROW()-2,"")</f>
        <v/>
      </c>
      <c r="B243" s="49" t="str">
        <f>IF($A243="","",EDATE(Simulador!$B$10,$A243))</f>
        <v/>
      </c>
      <c r="C243" s="50" t="str">
        <f>IF($A243="","",IF($A243=1,Simulador!$B$11,$F242))</f>
        <v/>
      </c>
      <c r="D243" s="50" t="str">
        <f>IF($A243="","",$C243*Simulador!$B$18)</f>
        <v/>
      </c>
      <c r="E243" s="50" t="str">
        <f>IF($A243="","",MIN(Simulador!$B$19-$D243,$C243))</f>
        <v/>
      </c>
      <c r="F243" s="50" t="str">
        <f>IF($A243="","",MAX(0,$C243-$E243))</f>
        <v/>
      </c>
      <c r="G243" s="50" t="str">
        <f>IF($A243="","",$D243+$E243+Simulador!$B$15)</f>
        <v/>
      </c>
    </row>
    <row r="244" spans="1:7" x14ac:dyDescent="0.3">
      <c r="A244" s="48" t="str">
        <f>IF(ROW()-2&lt;=Simulador!$B$13,ROW()-2,"")</f>
        <v/>
      </c>
      <c r="B244" s="49" t="str">
        <f>IF($A244="","",EDATE(Simulador!$B$10,$A244))</f>
        <v/>
      </c>
      <c r="C244" s="50" t="str">
        <f>IF($A244="","",IF($A244=1,Simulador!$B$11,$F243))</f>
        <v/>
      </c>
      <c r="D244" s="50" t="str">
        <f>IF($A244="","",$C244*Simulador!$B$18)</f>
        <v/>
      </c>
      <c r="E244" s="50" t="str">
        <f>IF($A244="","",MIN(Simulador!$B$19-$D244,$C244))</f>
        <v/>
      </c>
      <c r="F244" s="50" t="str">
        <f>IF($A244="","",MAX(0,$C244-$E244))</f>
        <v/>
      </c>
      <c r="G244" s="50" t="str">
        <f>IF($A244="","",$D244+$E244+Simulador!$B$15)</f>
        <v/>
      </c>
    </row>
    <row r="245" spans="1:7" x14ac:dyDescent="0.3">
      <c r="A245" s="48" t="str">
        <f>IF(ROW()-2&lt;=Simulador!$B$13,ROW()-2,"")</f>
        <v/>
      </c>
      <c r="B245" s="49" t="str">
        <f>IF($A245="","",EDATE(Simulador!$B$10,$A245))</f>
        <v/>
      </c>
      <c r="C245" s="50" t="str">
        <f>IF($A245="","",IF($A245=1,Simulador!$B$11,$F244))</f>
        <v/>
      </c>
      <c r="D245" s="50" t="str">
        <f>IF($A245="","",$C245*Simulador!$B$18)</f>
        <v/>
      </c>
      <c r="E245" s="50" t="str">
        <f>IF($A245="","",MIN(Simulador!$B$19-$D245,$C245))</f>
        <v/>
      </c>
      <c r="F245" s="50" t="str">
        <f>IF($A245="","",MAX(0,$C245-$E245))</f>
        <v/>
      </c>
      <c r="G245" s="50" t="str">
        <f>IF($A245="","",$D245+$E245+Simulador!$B$15)</f>
        <v/>
      </c>
    </row>
    <row r="246" spans="1:7" x14ac:dyDescent="0.3">
      <c r="A246" s="48" t="str">
        <f>IF(ROW()-2&lt;=Simulador!$B$13,ROW()-2,"")</f>
        <v/>
      </c>
      <c r="B246" s="49" t="str">
        <f>IF($A246="","",EDATE(Simulador!$B$10,$A246))</f>
        <v/>
      </c>
      <c r="C246" s="50" t="str">
        <f>IF($A246="","",IF($A246=1,Simulador!$B$11,$F245))</f>
        <v/>
      </c>
      <c r="D246" s="50" t="str">
        <f>IF($A246="","",$C246*Simulador!$B$18)</f>
        <v/>
      </c>
      <c r="E246" s="50" t="str">
        <f>IF($A246="","",MIN(Simulador!$B$19-$D246,$C246))</f>
        <v/>
      </c>
      <c r="F246" s="50" t="str">
        <f>IF($A246="","",MAX(0,$C246-$E246))</f>
        <v/>
      </c>
      <c r="G246" s="50" t="str">
        <f>IF($A246="","",$D246+$E246+Simulador!$B$15)</f>
        <v/>
      </c>
    </row>
    <row r="247" spans="1:7" x14ac:dyDescent="0.3">
      <c r="A247" s="48" t="str">
        <f>IF(ROW()-2&lt;=Simulador!$B$13,ROW()-2,"")</f>
        <v/>
      </c>
      <c r="B247" s="49" t="str">
        <f>IF($A247="","",EDATE(Simulador!$B$10,$A247))</f>
        <v/>
      </c>
      <c r="C247" s="50" t="str">
        <f>IF($A247="","",IF($A247=1,Simulador!$B$11,$F246))</f>
        <v/>
      </c>
      <c r="D247" s="50" t="str">
        <f>IF($A247="","",$C247*Simulador!$B$18)</f>
        <v/>
      </c>
      <c r="E247" s="50" t="str">
        <f>IF($A247="","",MIN(Simulador!$B$19-$D247,$C247))</f>
        <v/>
      </c>
      <c r="F247" s="50" t="str">
        <f>IF($A247="","",MAX(0,$C247-$E247))</f>
        <v/>
      </c>
      <c r="G247" s="50" t="str">
        <f>IF($A247="","",$D247+$E247+Simulador!$B$15)</f>
        <v/>
      </c>
    </row>
    <row r="248" spans="1:7" x14ac:dyDescent="0.3">
      <c r="A248" s="48" t="str">
        <f>IF(ROW()-2&lt;=Simulador!$B$13,ROW()-2,"")</f>
        <v/>
      </c>
      <c r="B248" s="49" t="str">
        <f>IF($A248="","",EDATE(Simulador!$B$10,$A248))</f>
        <v/>
      </c>
      <c r="C248" s="50" t="str">
        <f>IF($A248="","",IF($A248=1,Simulador!$B$11,$F247))</f>
        <v/>
      </c>
      <c r="D248" s="50" t="str">
        <f>IF($A248="","",$C248*Simulador!$B$18)</f>
        <v/>
      </c>
      <c r="E248" s="50" t="str">
        <f>IF($A248="","",MIN(Simulador!$B$19-$D248,$C248))</f>
        <v/>
      </c>
      <c r="F248" s="50" t="str">
        <f>IF($A248="","",MAX(0,$C248-$E248))</f>
        <v/>
      </c>
      <c r="G248" s="50" t="str">
        <f>IF($A248="","",$D248+$E248+Simulador!$B$15)</f>
        <v/>
      </c>
    </row>
    <row r="249" spans="1:7" x14ac:dyDescent="0.3">
      <c r="A249" s="48" t="str">
        <f>IF(ROW()-2&lt;=Simulador!$B$13,ROW()-2,"")</f>
        <v/>
      </c>
      <c r="B249" s="49" t="str">
        <f>IF($A249="","",EDATE(Simulador!$B$10,$A249))</f>
        <v/>
      </c>
      <c r="C249" s="50" t="str">
        <f>IF($A249="","",IF($A249=1,Simulador!$B$11,$F248))</f>
        <v/>
      </c>
      <c r="D249" s="50" t="str">
        <f>IF($A249="","",$C249*Simulador!$B$18)</f>
        <v/>
      </c>
      <c r="E249" s="50" t="str">
        <f>IF($A249="","",MIN(Simulador!$B$19-$D249,$C249))</f>
        <v/>
      </c>
      <c r="F249" s="50" t="str">
        <f>IF($A249="","",MAX(0,$C249-$E249))</f>
        <v/>
      </c>
      <c r="G249" s="50" t="str">
        <f>IF($A249="","",$D249+$E249+Simulador!$B$15)</f>
        <v/>
      </c>
    </row>
    <row r="250" spans="1:7" x14ac:dyDescent="0.3">
      <c r="A250" s="48" t="str">
        <f>IF(ROW()-2&lt;=Simulador!$B$13,ROW()-2,"")</f>
        <v/>
      </c>
      <c r="B250" s="49" t="str">
        <f>IF($A250="","",EDATE(Simulador!$B$10,$A250))</f>
        <v/>
      </c>
      <c r="C250" s="50" t="str">
        <f>IF($A250="","",IF($A250=1,Simulador!$B$11,$F249))</f>
        <v/>
      </c>
      <c r="D250" s="50" t="str">
        <f>IF($A250="","",$C250*Simulador!$B$18)</f>
        <v/>
      </c>
      <c r="E250" s="50" t="str">
        <f>IF($A250="","",MIN(Simulador!$B$19-$D250,$C250))</f>
        <v/>
      </c>
      <c r="F250" s="50" t="str">
        <f>IF($A250="","",MAX(0,$C250-$E250))</f>
        <v/>
      </c>
      <c r="G250" s="50" t="str">
        <f>IF($A250="","",$D250+$E250+Simulador!$B$15)</f>
        <v/>
      </c>
    </row>
    <row r="251" spans="1:7" x14ac:dyDescent="0.3">
      <c r="A251" s="48" t="str">
        <f>IF(ROW()-2&lt;=Simulador!$B$13,ROW()-2,"")</f>
        <v/>
      </c>
      <c r="B251" s="49" t="str">
        <f>IF($A251="","",EDATE(Simulador!$B$10,$A251))</f>
        <v/>
      </c>
      <c r="C251" s="50" t="str">
        <f>IF($A251="","",IF($A251=1,Simulador!$B$11,$F250))</f>
        <v/>
      </c>
      <c r="D251" s="50" t="str">
        <f>IF($A251="","",$C251*Simulador!$B$18)</f>
        <v/>
      </c>
      <c r="E251" s="50" t="str">
        <f>IF($A251="","",MIN(Simulador!$B$19-$D251,$C251))</f>
        <v/>
      </c>
      <c r="F251" s="50" t="str">
        <f>IF($A251="","",MAX(0,$C251-$E251))</f>
        <v/>
      </c>
      <c r="G251" s="50" t="str">
        <f>IF($A251="","",$D251+$E251+Simulador!$B$15)</f>
        <v/>
      </c>
    </row>
    <row r="252" spans="1:7" x14ac:dyDescent="0.3">
      <c r="A252" s="48" t="str">
        <f>IF(ROW()-2&lt;=Simulador!$B$13,ROW()-2,"")</f>
        <v/>
      </c>
      <c r="B252" s="49" t="str">
        <f>IF($A252="","",EDATE(Simulador!$B$10,$A252))</f>
        <v/>
      </c>
      <c r="C252" s="50" t="str">
        <f>IF($A252="","",IF($A252=1,Simulador!$B$11,$F251))</f>
        <v/>
      </c>
      <c r="D252" s="50" t="str">
        <f>IF($A252="","",$C252*Simulador!$B$18)</f>
        <v/>
      </c>
      <c r="E252" s="50" t="str">
        <f>IF($A252="","",MIN(Simulador!$B$19-$D252,$C252))</f>
        <v/>
      </c>
      <c r="F252" s="50" t="str">
        <f>IF($A252="","",MAX(0,$C252-$E252))</f>
        <v/>
      </c>
      <c r="G252" s="50" t="str">
        <f>IF($A252="","",$D252+$E252+Simulador!$B$15)</f>
        <v/>
      </c>
    </row>
    <row r="253" spans="1:7" x14ac:dyDescent="0.3">
      <c r="A253" s="48" t="str">
        <f>IF(ROW()-2&lt;=Simulador!$B$13,ROW()-2,"")</f>
        <v/>
      </c>
      <c r="B253" s="49" t="str">
        <f>IF($A253="","",EDATE(Simulador!$B$10,$A253))</f>
        <v/>
      </c>
      <c r="C253" s="50" t="str">
        <f>IF($A253="","",IF($A253=1,Simulador!$B$11,$F252))</f>
        <v/>
      </c>
      <c r="D253" s="50" t="str">
        <f>IF($A253="","",$C253*Simulador!$B$18)</f>
        <v/>
      </c>
      <c r="E253" s="50" t="str">
        <f>IF($A253="","",MIN(Simulador!$B$19-$D253,$C253))</f>
        <v/>
      </c>
      <c r="F253" s="50" t="str">
        <f>IF($A253="","",MAX(0,$C253-$E253))</f>
        <v/>
      </c>
      <c r="G253" s="50" t="str">
        <f>IF($A253="","",$D253+$E253+Simulador!$B$15)</f>
        <v/>
      </c>
    </row>
    <row r="254" spans="1:7" x14ac:dyDescent="0.3">
      <c r="A254" s="48" t="str">
        <f>IF(ROW()-2&lt;=Simulador!$B$13,ROW()-2,"")</f>
        <v/>
      </c>
      <c r="B254" s="49" t="str">
        <f>IF($A254="","",EDATE(Simulador!$B$10,$A254))</f>
        <v/>
      </c>
      <c r="C254" s="50" t="str">
        <f>IF($A254="","",IF($A254=1,Simulador!$B$11,$F253))</f>
        <v/>
      </c>
      <c r="D254" s="50" t="str">
        <f>IF($A254="","",$C254*Simulador!$B$18)</f>
        <v/>
      </c>
      <c r="E254" s="50" t="str">
        <f>IF($A254="","",MIN(Simulador!$B$19-$D254,$C254))</f>
        <v/>
      </c>
      <c r="F254" s="50" t="str">
        <f>IF($A254="","",MAX(0,$C254-$E254))</f>
        <v/>
      </c>
      <c r="G254" s="50" t="str">
        <f>IF($A254="","",$D254+$E254+Simulador!$B$15)</f>
        <v/>
      </c>
    </row>
    <row r="255" spans="1:7" x14ac:dyDescent="0.3">
      <c r="A255" s="48" t="str">
        <f>IF(ROW()-2&lt;=Simulador!$B$13,ROW()-2,"")</f>
        <v/>
      </c>
      <c r="B255" s="49" t="str">
        <f>IF($A255="","",EDATE(Simulador!$B$10,$A255))</f>
        <v/>
      </c>
      <c r="C255" s="50" t="str">
        <f>IF($A255="","",IF($A255=1,Simulador!$B$11,$F254))</f>
        <v/>
      </c>
      <c r="D255" s="50" t="str">
        <f>IF($A255="","",$C255*Simulador!$B$18)</f>
        <v/>
      </c>
      <c r="E255" s="50" t="str">
        <f>IF($A255="","",MIN(Simulador!$B$19-$D255,$C255))</f>
        <v/>
      </c>
      <c r="F255" s="50" t="str">
        <f>IF($A255="","",MAX(0,$C255-$E255))</f>
        <v/>
      </c>
      <c r="G255" s="50" t="str">
        <f>IF($A255="","",$D255+$E255+Simulador!$B$15)</f>
        <v/>
      </c>
    </row>
    <row r="256" spans="1:7" x14ac:dyDescent="0.3">
      <c r="A256" s="48" t="str">
        <f>IF(ROW()-2&lt;=Simulador!$B$13,ROW()-2,"")</f>
        <v/>
      </c>
      <c r="B256" s="49" t="str">
        <f>IF($A256="","",EDATE(Simulador!$B$10,$A256))</f>
        <v/>
      </c>
      <c r="C256" s="50" t="str">
        <f>IF($A256="","",IF($A256=1,Simulador!$B$11,$F255))</f>
        <v/>
      </c>
      <c r="D256" s="50" t="str">
        <f>IF($A256="","",$C256*Simulador!$B$18)</f>
        <v/>
      </c>
      <c r="E256" s="50" t="str">
        <f>IF($A256="","",MIN(Simulador!$B$19-$D256,$C256))</f>
        <v/>
      </c>
      <c r="F256" s="50" t="str">
        <f>IF($A256="","",MAX(0,$C256-$E256))</f>
        <v/>
      </c>
      <c r="G256" s="50" t="str">
        <f>IF($A256="","",$D256+$E256+Simulador!$B$15)</f>
        <v/>
      </c>
    </row>
    <row r="257" spans="1:7" x14ac:dyDescent="0.3">
      <c r="A257" s="48" t="str">
        <f>IF(ROW()-2&lt;=Simulador!$B$13,ROW()-2,"")</f>
        <v/>
      </c>
      <c r="B257" s="49" t="str">
        <f>IF($A257="","",EDATE(Simulador!$B$10,$A257))</f>
        <v/>
      </c>
      <c r="C257" s="50" t="str">
        <f>IF($A257="","",IF($A257=1,Simulador!$B$11,$F256))</f>
        <v/>
      </c>
      <c r="D257" s="50" t="str">
        <f>IF($A257="","",$C257*Simulador!$B$18)</f>
        <v/>
      </c>
      <c r="E257" s="50" t="str">
        <f>IF($A257="","",MIN(Simulador!$B$19-$D257,$C257))</f>
        <v/>
      </c>
      <c r="F257" s="50" t="str">
        <f>IF($A257="","",MAX(0,$C257-$E257))</f>
        <v/>
      </c>
      <c r="G257" s="50" t="str">
        <f>IF($A257="","",$D257+$E257+Simulador!$B$15)</f>
        <v/>
      </c>
    </row>
    <row r="258" spans="1:7" x14ac:dyDescent="0.3">
      <c r="A258" s="48" t="str">
        <f>IF(ROW()-2&lt;=Simulador!$B$13,ROW()-2,"")</f>
        <v/>
      </c>
      <c r="B258" s="49" t="str">
        <f>IF($A258="","",EDATE(Simulador!$B$10,$A258))</f>
        <v/>
      </c>
      <c r="C258" s="50" t="str">
        <f>IF($A258="","",IF($A258=1,Simulador!$B$11,$F257))</f>
        <v/>
      </c>
      <c r="D258" s="50" t="str">
        <f>IF($A258="","",$C258*Simulador!$B$18)</f>
        <v/>
      </c>
      <c r="E258" s="50" t="str">
        <f>IF($A258="","",MIN(Simulador!$B$19-$D258,$C258))</f>
        <v/>
      </c>
      <c r="F258" s="50" t="str">
        <f>IF($A258="","",MAX(0,$C258-$E258))</f>
        <v/>
      </c>
      <c r="G258" s="50" t="str">
        <f>IF($A258="","",$D258+$E258+Simulador!$B$15)</f>
        <v/>
      </c>
    </row>
    <row r="259" spans="1:7" x14ac:dyDescent="0.3">
      <c r="A259" s="48" t="str">
        <f>IF(ROW()-2&lt;=Simulador!$B$13,ROW()-2,"")</f>
        <v/>
      </c>
      <c r="B259" s="49" t="str">
        <f>IF($A259="","",EDATE(Simulador!$B$10,$A259))</f>
        <v/>
      </c>
      <c r="C259" s="50" t="str">
        <f>IF($A259="","",IF($A259=1,Simulador!$B$11,$F258))</f>
        <v/>
      </c>
      <c r="D259" s="50" t="str">
        <f>IF($A259="","",$C259*Simulador!$B$18)</f>
        <v/>
      </c>
      <c r="E259" s="50" t="str">
        <f>IF($A259="","",MIN(Simulador!$B$19-$D259,$C259))</f>
        <v/>
      </c>
      <c r="F259" s="50" t="str">
        <f>IF($A259="","",MAX(0,$C259-$E259))</f>
        <v/>
      </c>
      <c r="G259" s="50" t="str">
        <f>IF($A259="","",$D259+$E259+Simulador!$B$15)</f>
        <v/>
      </c>
    </row>
    <row r="260" spans="1:7" x14ac:dyDescent="0.3">
      <c r="A260" s="48" t="str">
        <f>IF(ROW()-2&lt;=Simulador!$B$13,ROW()-2,"")</f>
        <v/>
      </c>
      <c r="B260" s="49" t="str">
        <f>IF($A260="","",EDATE(Simulador!$B$10,$A260))</f>
        <v/>
      </c>
      <c r="C260" s="50" t="str">
        <f>IF($A260="","",IF($A260=1,Simulador!$B$11,$F259))</f>
        <v/>
      </c>
      <c r="D260" s="50" t="str">
        <f>IF($A260="","",$C260*Simulador!$B$18)</f>
        <v/>
      </c>
      <c r="E260" s="50" t="str">
        <f>IF($A260="","",MIN(Simulador!$B$19-$D260,$C260))</f>
        <v/>
      </c>
      <c r="F260" s="50" t="str">
        <f>IF($A260="","",MAX(0,$C260-$E260))</f>
        <v/>
      </c>
      <c r="G260" s="50" t="str">
        <f>IF($A260="","",$D260+$E260+Simulador!$B$15)</f>
        <v/>
      </c>
    </row>
    <row r="261" spans="1:7" x14ac:dyDescent="0.3">
      <c r="A261" s="48" t="str">
        <f>IF(ROW()-2&lt;=Simulador!$B$13,ROW()-2,"")</f>
        <v/>
      </c>
      <c r="B261" s="49" t="str">
        <f>IF($A261="","",EDATE(Simulador!$B$10,$A261))</f>
        <v/>
      </c>
      <c r="C261" s="50" t="str">
        <f>IF($A261="","",IF($A261=1,Simulador!$B$11,$F260))</f>
        <v/>
      </c>
      <c r="D261" s="50" t="str">
        <f>IF($A261="","",$C261*Simulador!$B$18)</f>
        <v/>
      </c>
      <c r="E261" s="50" t="str">
        <f>IF($A261="","",MIN(Simulador!$B$19-$D261,$C261))</f>
        <v/>
      </c>
      <c r="F261" s="50" t="str">
        <f>IF($A261="","",MAX(0,$C261-$E261))</f>
        <v/>
      </c>
      <c r="G261" s="50" t="str">
        <f>IF($A261="","",$D261+$E261+Simulador!$B$15)</f>
        <v/>
      </c>
    </row>
    <row r="262" spans="1:7" x14ac:dyDescent="0.3">
      <c r="A262" s="48" t="str">
        <f>IF(ROW()-2&lt;=Simulador!$B$13,ROW()-2,"")</f>
        <v/>
      </c>
      <c r="B262" s="49" t="str">
        <f>IF($A262="","",EDATE(Simulador!$B$10,$A262))</f>
        <v/>
      </c>
      <c r="C262" s="50" t="str">
        <f>IF($A262="","",IF($A262=1,Simulador!$B$11,$F261))</f>
        <v/>
      </c>
      <c r="D262" s="50" t="str">
        <f>IF($A262="","",$C262*Simulador!$B$18)</f>
        <v/>
      </c>
      <c r="E262" s="50" t="str">
        <f>IF($A262="","",MIN(Simulador!$B$19-$D262,$C262))</f>
        <v/>
      </c>
      <c r="F262" s="50" t="str">
        <f>IF($A262="","",MAX(0,$C262-$E262))</f>
        <v/>
      </c>
      <c r="G262" s="50" t="str">
        <f>IF($A262="","",$D262+$E262+Simulador!$B$15)</f>
        <v/>
      </c>
    </row>
    <row r="263" spans="1:7" x14ac:dyDescent="0.3">
      <c r="A263" s="48" t="str">
        <f>IF(ROW()-2&lt;=Simulador!$B$13,ROW()-2,"")</f>
        <v/>
      </c>
      <c r="B263" s="49" t="str">
        <f>IF($A263="","",EDATE(Simulador!$B$10,$A263))</f>
        <v/>
      </c>
      <c r="C263" s="50" t="str">
        <f>IF($A263="","",IF($A263=1,Simulador!$B$11,$F262))</f>
        <v/>
      </c>
      <c r="D263" s="50" t="str">
        <f>IF($A263="","",$C263*Simulador!$B$18)</f>
        <v/>
      </c>
      <c r="E263" s="50" t="str">
        <f>IF($A263="","",MIN(Simulador!$B$19-$D263,$C263))</f>
        <v/>
      </c>
      <c r="F263" s="50" t="str">
        <f>IF($A263="","",MAX(0,$C263-$E263))</f>
        <v/>
      </c>
      <c r="G263" s="50" t="str">
        <f>IF($A263="","",$D263+$E263+Simulador!$B$15)</f>
        <v/>
      </c>
    </row>
    <row r="264" spans="1:7" x14ac:dyDescent="0.3">
      <c r="A264" s="48" t="str">
        <f>IF(ROW()-2&lt;=Simulador!$B$13,ROW()-2,"")</f>
        <v/>
      </c>
      <c r="B264" s="49" t="str">
        <f>IF($A264="","",EDATE(Simulador!$B$10,$A264))</f>
        <v/>
      </c>
      <c r="C264" s="50" t="str">
        <f>IF($A264="","",IF($A264=1,Simulador!$B$11,$F263))</f>
        <v/>
      </c>
      <c r="D264" s="50" t="str">
        <f>IF($A264="","",$C264*Simulador!$B$18)</f>
        <v/>
      </c>
      <c r="E264" s="50" t="str">
        <f>IF($A264="","",MIN(Simulador!$B$19-$D264,$C264))</f>
        <v/>
      </c>
      <c r="F264" s="50" t="str">
        <f>IF($A264="","",MAX(0,$C264-$E264))</f>
        <v/>
      </c>
      <c r="G264" s="50" t="str">
        <f>IF($A264="","",$D264+$E264+Simulador!$B$15)</f>
        <v/>
      </c>
    </row>
    <row r="265" spans="1:7" x14ac:dyDescent="0.3">
      <c r="A265" s="48" t="str">
        <f>IF(ROW()-2&lt;=Simulador!$B$13,ROW()-2,"")</f>
        <v/>
      </c>
      <c r="B265" s="49" t="str">
        <f>IF($A265="","",EDATE(Simulador!$B$10,$A265))</f>
        <v/>
      </c>
      <c r="C265" s="50" t="str">
        <f>IF($A265="","",IF($A265=1,Simulador!$B$11,$F264))</f>
        <v/>
      </c>
      <c r="D265" s="50" t="str">
        <f>IF($A265="","",$C265*Simulador!$B$18)</f>
        <v/>
      </c>
      <c r="E265" s="50" t="str">
        <f>IF($A265="","",MIN(Simulador!$B$19-$D265,$C265))</f>
        <v/>
      </c>
      <c r="F265" s="50" t="str">
        <f>IF($A265="","",MAX(0,$C265-$E265))</f>
        <v/>
      </c>
      <c r="G265" s="50" t="str">
        <f>IF($A265="","",$D265+$E265+Simulador!$B$15)</f>
        <v/>
      </c>
    </row>
    <row r="266" spans="1:7" x14ac:dyDescent="0.3">
      <c r="A266" s="48" t="str">
        <f>IF(ROW()-2&lt;=Simulador!$B$13,ROW()-2,"")</f>
        <v/>
      </c>
      <c r="B266" s="49" t="str">
        <f>IF($A266="","",EDATE(Simulador!$B$10,$A266))</f>
        <v/>
      </c>
      <c r="C266" s="50" t="str">
        <f>IF($A266="","",IF($A266=1,Simulador!$B$11,$F265))</f>
        <v/>
      </c>
      <c r="D266" s="50" t="str">
        <f>IF($A266="","",$C266*Simulador!$B$18)</f>
        <v/>
      </c>
      <c r="E266" s="50" t="str">
        <f>IF($A266="","",MIN(Simulador!$B$19-$D266,$C266))</f>
        <v/>
      </c>
      <c r="F266" s="50" t="str">
        <f>IF($A266="","",MAX(0,$C266-$E266))</f>
        <v/>
      </c>
      <c r="G266" s="50" t="str">
        <f>IF($A266="","",$D266+$E266+Simulador!$B$15)</f>
        <v/>
      </c>
    </row>
    <row r="267" spans="1:7" x14ac:dyDescent="0.3">
      <c r="A267" s="48" t="str">
        <f>IF(ROW()-2&lt;=Simulador!$B$13,ROW()-2,"")</f>
        <v/>
      </c>
      <c r="B267" s="49" t="str">
        <f>IF($A267="","",EDATE(Simulador!$B$10,$A267))</f>
        <v/>
      </c>
      <c r="C267" s="50" t="str">
        <f>IF($A267="","",IF($A267=1,Simulador!$B$11,$F266))</f>
        <v/>
      </c>
      <c r="D267" s="50" t="str">
        <f>IF($A267="","",$C267*Simulador!$B$18)</f>
        <v/>
      </c>
      <c r="E267" s="50" t="str">
        <f>IF($A267="","",MIN(Simulador!$B$19-$D267,$C267))</f>
        <v/>
      </c>
      <c r="F267" s="50" t="str">
        <f>IF($A267="","",MAX(0,$C267-$E267))</f>
        <v/>
      </c>
      <c r="G267" s="50" t="str">
        <f>IF($A267="","",$D267+$E267+Simulador!$B$15)</f>
        <v/>
      </c>
    </row>
    <row r="268" spans="1:7" x14ac:dyDescent="0.3">
      <c r="A268" s="48" t="str">
        <f>IF(ROW()-2&lt;=Simulador!$B$13,ROW()-2,"")</f>
        <v/>
      </c>
      <c r="B268" s="49" t="str">
        <f>IF($A268="","",EDATE(Simulador!$B$10,$A268))</f>
        <v/>
      </c>
      <c r="C268" s="50" t="str">
        <f>IF($A268="","",IF($A268=1,Simulador!$B$11,$F267))</f>
        <v/>
      </c>
      <c r="D268" s="50" t="str">
        <f>IF($A268="","",$C268*Simulador!$B$18)</f>
        <v/>
      </c>
      <c r="E268" s="50" t="str">
        <f>IF($A268="","",MIN(Simulador!$B$19-$D268,$C268))</f>
        <v/>
      </c>
      <c r="F268" s="50" t="str">
        <f>IF($A268="","",MAX(0,$C268-$E268))</f>
        <v/>
      </c>
      <c r="G268" s="50" t="str">
        <f>IF($A268="","",$D268+$E268+Simulador!$B$15)</f>
        <v/>
      </c>
    </row>
    <row r="269" spans="1:7" x14ac:dyDescent="0.3">
      <c r="A269" s="48" t="str">
        <f>IF(ROW()-2&lt;=Simulador!$B$13,ROW()-2,"")</f>
        <v/>
      </c>
      <c r="B269" s="49" t="str">
        <f>IF($A269="","",EDATE(Simulador!$B$10,$A269))</f>
        <v/>
      </c>
      <c r="C269" s="50" t="str">
        <f>IF($A269="","",IF($A269=1,Simulador!$B$11,$F268))</f>
        <v/>
      </c>
      <c r="D269" s="50" t="str">
        <f>IF($A269="","",$C269*Simulador!$B$18)</f>
        <v/>
      </c>
      <c r="E269" s="50" t="str">
        <f>IF($A269="","",MIN(Simulador!$B$19-$D269,$C269))</f>
        <v/>
      </c>
      <c r="F269" s="50" t="str">
        <f>IF($A269="","",MAX(0,$C269-$E269))</f>
        <v/>
      </c>
      <c r="G269" s="50" t="str">
        <f>IF($A269="","",$D269+$E269+Simulador!$B$15)</f>
        <v/>
      </c>
    </row>
    <row r="270" spans="1:7" x14ac:dyDescent="0.3">
      <c r="A270" s="48" t="str">
        <f>IF(ROW()-2&lt;=Simulador!$B$13,ROW()-2,"")</f>
        <v/>
      </c>
      <c r="B270" s="49" t="str">
        <f>IF($A270="","",EDATE(Simulador!$B$10,$A270))</f>
        <v/>
      </c>
      <c r="C270" s="50" t="str">
        <f>IF($A270="","",IF($A270=1,Simulador!$B$11,$F269))</f>
        <v/>
      </c>
      <c r="D270" s="50" t="str">
        <f>IF($A270="","",$C270*Simulador!$B$18)</f>
        <v/>
      </c>
      <c r="E270" s="50" t="str">
        <f>IF($A270="","",MIN(Simulador!$B$19-$D270,$C270))</f>
        <v/>
      </c>
      <c r="F270" s="50" t="str">
        <f>IF($A270="","",MAX(0,$C270-$E270))</f>
        <v/>
      </c>
      <c r="G270" s="50" t="str">
        <f>IF($A270="","",$D270+$E270+Simulador!$B$15)</f>
        <v/>
      </c>
    </row>
    <row r="271" spans="1:7" x14ac:dyDescent="0.3">
      <c r="A271" s="48" t="str">
        <f>IF(ROW()-2&lt;=Simulador!$B$13,ROW()-2,"")</f>
        <v/>
      </c>
      <c r="B271" s="49" t="str">
        <f>IF($A271="","",EDATE(Simulador!$B$10,$A271))</f>
        <v/>
      </c>
      <c r="C271" s="50" t="str">
        <f>IF($A271="","",IF($A271=1,Simulador!$B$11,$F270))</f>
        <v/>
      </c>
      <c r="D271" s="50" t="str">
        <f>IF($A271="","",$C271*Simulador!$B$18)</f>
        <v/>
      </c>
      <c r="E271" s="50" t="str">
        <f>IF($A271="","",MIN(Simulador!$B$19-$D271,$C271))</f>
        <v/>
      </c>
      <c r="F271" s="50" t="str">
        <f>IF($A271="","",MAX(0,$C271-$E271))</f>
        <v/>
      </c>
      <c r="G271" s="50" t="str">
        <f>IF($A271="","",$D271+$E271+Simulador!$B$15)</f>
        <v/>
      </c>
    </row>
    <row r="272" spans="1:7" x14ac:dyDescent="0.3">
      <c r="A272" s="48" t="str">
        <f>IF(ROW()-2&lt;=Simulador!$B$13,ROW()-2,"")</f>
        <v/>
      </c>
      <c r="B272" s="49" t="str">
        <f>IF($A272="","",EDATE(Simulador!$B$10,$A272))</f>
        <v/>
      </c>
      <c r="C272" s="50" t="str">
        <f>IF($A272="","",IF($A272=1,Simulador!$B$11,$F271))</f>
        <v/>
      </c>
      <c r="D272" s="50" t="str">
        <f>IF($A272="","",$C272*Simulador!$B$18)</f>
        <v/>
      </c>
      <c r="E272" s="50" t="str">
        <f>IF($A272="","",MIN(Simulador!$B$19-$D272,$C272))</f>
        <v/>
      </c>
      <c r="F272" s="50" t="str">
        <f>IF($A272="","",MAX(0,$C272-$E272))</f>
        <v/>
      </c>
      <c r="G272" s="50" t="str">
        <f>IF($A272="","",$D272+$E272+Simulador!$B$15)</f>
        <v/>
      </c>
    </row>
    <row r="273" spans="1:7" x14ac:dyDescent="0.3">
      <c r="A273" s="48" t="str">
        <f>IF(ROW()-2&lt;=Simulador!$B$13,ROW()-2,"")</f>
        <v/>
      </c>
      <c r="B273" s="49" t="str">
        <f>IF($A273="","",EDATE(Simulador!$B$10,$A273))</f>
        <v/>
      </c>
      <c r="C273" s="50" t="str">
        <f>IF($A273="","",IF($A273=1,Simulador!$B$11,$F272))</f>
        <v/>
      </c>
      <c r="D273" s="50" t="str">
        <f>IF($A273="","",$C273*Simulador!$B$18)</f>
        <v/>
      </c>
      <c r="E273" s="50" t="str">
        <f>IF($A273="","",MIN(Simulador!$B$19-$D273,$C273))</f>
        <v/>
      </c>
      <c r="F273" s="50" t="str">
        <f>IF($A273="","",MAX(0,$C273-$E273))</f>
        <v/>
      </c>
      <c r="G273" s="50" t="str">
        <f>IF($A273="","",$D273+$E273+Simulador!$B$15)</f>
        <v/>
      </c>
    </row>
    <row r="274" spans="1:7" x14ac:dyDescent="0.3">
      <c r="A274" s="48" t="str">
        <f>IF(ROW()-2&lt;=Simulador!$B$13,ROW()-2,"")</f>
        <v/>
      </c>
      <c r="B274" s="49" t="str">
        <f>IF($A274="","",EDATE(Simulador!$B$10,$A274))</f>
        <v/>
      </c>
      <c r="C274" s="50" t="str">
        <f>IF($A274="","",IF($A274=1,Simulador!$B$11,$F273))</f>
        <v/>
      </c>
      <c r="D274" s="50" t="str">
        <f>IF($A274="","",$C274*Simulador!$B$18)</f>
        <v/>
      </c>
      <c r="E274" s="50" t="str">
        <f>IF($A274="","",MIN(Simulador!$B$19-$D274,$C274))</f>
        <v/>
      </c>
      <c r="F274" s="50" t="str">
        <f>IF($A274="","",MAX(0,$C274-$E274))</f>
        <v/>
      </c>
      <c r="G274" s="50" t="str">
        <f>IF($A274="","",$D274+$E274+Simulador!$B$15)</f>
        <v/>
      </c>
    </row>
    <row r="275" spans="1:7" x14ac:dyDescent="0.3">
      <c r="A275" s="48" t="str">
        <f>IF(ROW()-2&lt;=Simulador!$B$13,ROW()-2,"")</f>
        <v/>
      </c>
      <c r="B275" s="49" t="str">
        <f>IF($A275="","",EDATE(Simulador!$B$10,$A275))</f>
        <v/>
      </c>
      <c r="C275" s="50" t="str">
        <f>IF($A275="","",IF($A275=1,Simulador!$B$11,$F274))</f>
        <v/>
      </c>
      <c r="D275" s="50" t="str">
        <f>IF($A275="","",$C275*Simulador!$B$18)</f>
        <v/>
      </c>
      <c r="E275" s="50" t="str">
        <f>IF($A275="","",MIN(Simulador!$B$19-$D275,$C275))</f>
        <v/>
      </c>
      <c r="F275" s="50" t="str">
        <f>IF($A275="","",MAX(0,$C275-$E275))</f>
        <v/>
      </c>
      <c r="G275" s="50" t="str">
        <f>IF($A275="","",$D275+$E275+Simulador!$B$15)</f>
        <v/>
      </c>
    </row>
    <row r="276" spans="1:7" x14ac:dyDescent="0.3">
      <c r="A276" s="48" t="str">
        <f>IF(ROW()-2&lt;=Simulador!$B$13,ROW()-2,"")</f>
        <v/>
      </c>
      <c r="B276" s="49" t="str">
        <f>IF($A276="","",EDATE(Simulador!$B$10,$A276))</f>
        <v/>
      </c>
      <c r="C276" s="50" t="str">
        <f>IF($A276="","",IF($A276=1,Simulador!$B$11,$F275))</f>
        <v/>
      </c>
      <c r="D276" s="50" t="str">
        <f>IF($A276="","",$C276*Simulador!$B$18)</f>
        <v/>
      </c>
      <c r="E276" s="50" t="str">
        <f>IF($A276="","",MIN(Simulador!$B$19-$D276,$C276))</f>
        <v/>
      </c>
      <c r="F276" s="50" t="str">
        <f>IF($A276="","",MAX(0,$C276-$E276))</f>
        <v/>
      </c>
      <c r="G276" s="50" t="str">
        <f>IF($A276="","",$D276+$E276+Simulador!$B$15)</f>
        <v/>
      </c>
    </row>
    <row r="277" spans="1:7" x14ac:dyDescent="0.3">
      <c r="A277" s="48" t="str">
        <f>IF(ROW()-2&lt;=Simulador!$B$13,ROW()-2,"")</f>
        <v/>
      </c>
      <c r="B277" s="49" t="str">
        <f>IF($A277="","",EDATE(Simulador!$B$10,$A277))</f>
        <v/>
      </c>
      <c r="C277" s="50" t="str">
        <f>IF($A277="","",IF($A277=1,Simulador!$B$11,$F276))</f>
        <v/>
      </c>
      <c r="D277" s="50" t="str">
        <f>IF($A277="","",$C277*Simulador!$B$18)</f>
        <v/>
      </c>
      <c r="E277" s="50" t="str">
        <f>IF($A277="","",MIN(Simulador!$B$19-$D277,$C277))</f>
        <v/>
      </c>
      <c r="F277" s="50" t="str">
        <f>IF($A277="","",MAX(0,$C277-$E277))</f>
        <v/>
      </c>
      <c r="G277" s="50" t="str">
        <f>IF($A277="","",$D277+$E277+Simulador!$B$15)</f>
        <v/>
      </c>
    </row>
    <row r="278" spans="1:7" x14ac:dyDescent="0.3">
      <c r="A278" s="48" t="str">
        <f>IF(ROW()-2&lt;=Simulador!$B$13,ROW()-2,"")</f>
        <v/>
      </c>
      <c r="B278" s="49" t="str">
        <f>IF($A278="","",EDATE(Simulador!$B$10,$A278))</f>
        <v/>
      </c>
      <c r="C278" s="50" t="str">
        <f>IF($A278="","",IF($A278=1,Simulador!$B$11,$F277))</f>
        <v/>
      </c>
      <c r="D278" s="50" t="str">
        <f>IF($A278="","",$C278*Simulador!$B$18)</f>
        <v/>
      </c>
      <c r="E278" s="50" t="str">
        <f>IF($A278="","",MIN(Simulador!$B$19-$D278,$C278))</f>
        <v/>
      </c>
      <c r="F278" s="50" t="str">
        <f>IF($A278="","",MAX(0,$C278-$E278))</f>
        <v/>
      </c>
      <c r="G278" s="50" t="str">
        <f>IF($A278="","",$D278+$E278+Simulador!$B$15)</f>
        <v/>
      </c>
    </row>
    <row r="279" spans="1:7" x14ac:dyDescent="0.3">
      <c r="A279" s="48" t="str">
        <f>IF(ROW()-2&lt;=Simulador!$B$13,ROW()-2,"")</f>
        <v/>
      </c>
      <c r="B279" s="49" t="str">
        <f>IF($A279="","",EDATE(Simulador!$B$10,$A279))</f>
        <v/>
      </c>
      <c r="C279" s="50" t="str">
        <f>IF($A279="","",IF($A279=1,Simulador!$B$11,$F278))</f>
        <v/>
      </c>
      <c r="D279" s="50" t="str">
        <f>IF($A279="","",$C279*Simulador!$B$18)</f>
        <v/>
      </c>
      <c r="E279" s="50" t="str">
        <f>IF($A279="","",MIN(Simulador!$B$19-$D279,$C279))</f>
        <v/>
      </c>
      <c r="F279" s="50" t="str">
        <f>IF($A279="","",MAX(0,$C279-$E279))</f>
        <v/>
      </c>
      <c r="G279" s="50" t="str">
        <f>IF($A279="","",$D279+$E279+Simulador!$B$15)</f>
        <v/>
      </c>
    </row>
    <row r="280" spans="1:7" x14ac:dyDescent="0.3">
      <c r="A280" s="48" t="str">
        <f>IF(ROW()-2&lt;=Simulador!$B$13,ROW()-2,"")</f>
        <v/>
      </c>
      <c r="B280" s="49" t="str">
        <f>IF($A280="","",EDATE(Simulador!$B$10,$A280))</f>
        <v/>
      </c>
      <c r="C280" s="50" t="str">
        <f>IF($A280="","",IF($A280=1,Simulador!$B$11,$F279))</f>
        <v/>
      </c>
      <c r="D280" s="50" t="str">
        <f>IF($A280="","",$C280*Simulador!$B$18)</f>
        <v/>
      </c>
      <c r="E280" s="50" t="str">
        <f>IF($A280="","",MIN(Simulador!$B$19-$D280,$C280))</f>
        <v/>
      </c>
      <c r="F280" s="50" t="str">
        <f>IF($A280="","",MAX(0,$C280-$E280))</f>
        <v/>
      </c>
      <c r="G280" s="50" t="str">
        <f>IF($A280="","",$D280+$E280+Simulador!$B$15)</f>
        <v/>
      </c>
    </row>
    <row r="281" spans="1:7" x14ac:dyDescent="0.3">
      <c r="A281" s="48" t="str">
        <f>IF(ROW()-2&lt;=Simulador!$B$13,ROW()-2,"")</f>
        <v/>
      </c>
      <c r="B281" s="49" t="str">
        <f>IF($A281="","",EDATE(Simulador!$B$10,$A281))</f>
        <v/>
      </c>
      <c r="C281" s="50" t="str">
        <f>IF($A281="","",IF($A281=1,Simulador!$B$11,$F280))</f>
        <v/>
      </c>
      <c r="D281" s="50" t="str">
        <f>IF($A281="","",$C281*Simulador!$B$18)</f>
        <v/>
      </c>
      <c r="E281" s="50" t="str">
        <f>IF($A281="","",MIN(Simulador!$B$19-$D281,$C281))</f>
        <v/>
      </c>
      <c r="F281" s="50" t="str">
        <f>IF($A281="","",MAX(0,$C281-$E281))</f>
        <v/>
      </c>
      <c r="G281" s="50" t="str">
        <f>IF($A281="","",$D281+$E281+Simulador!$B$15)</f>
        <v/>
      </c>
    </row>
    <row r="282" spans="1:7" x14ac:dyDescent="0.3">
      <c r="A282" s="48" t="str">
        <f>IF(ROW()-2&lt;=Simulador!$B$13,ROW()-2,"")</f>
        <v/>
      </c>
      <c r="B282" s="49" t="str">
        <f>IF($A282="","",EDATE(Simulador!$B$10,$A282))</f>
        <v/>
      </c>
      <c r="C282" s="50" t="str">
        <f>IF($A282="","",IF($A282=1,Simulador!$B$11,$F281))</f>
        <v/>
      </c>
      <c r="D282" s="50" t="str">
        <f>IF($A282="","",$C282*Simulador!$B$18)</f>
        <v/>
      </c>
      <c r="E282" s="50" t="str">
        <f>IF($A282="","",MIN(Simulador!$B$19-$D282,$C282))</f>
        <v/>
      </c>
      <c r="F282" s="50" t="str">
        <f>IF($A282="","",MAX(0,$C282-$E282))</f>
        <v/>
      </c>
      <c r="G282" s="50" t="str">
        <f>IF($A282="","",$D282+$E282+Simulador!$B$15)</f>
        <v/>
      </c>
    </row>
    <row r="283" spans="1:7" x14ac:dyDescent="0.3">
      <c r="A283" s="48" t="str">
        <f>IF(ROW()-2&lt;=Simulador!$B$13,ROW()-2,"")</f>
        <v/>
      </c>
      <c r="B283" s="49" t="str">
        <f>IF($A283="","",EDATE(Simulador!$B$10,$A283))</f>
        <v/>
      </c>
      <c r="C283" s="50" t="str">
        <f>IF($A283="","",IF($A283=1,Simulador!$B$11,$F282))</f>
        <v/>
      </c>
      <c r="D283" s="50" t="str">
        <f>IF($A283="","",$C283*Simulador!$B$18)</f>
        <v/>
      </c>
      <c r="E283" s="50" t="str">
        <f>IF($A283="","",MIN(Simulador!$B$19-$D283,$C283))</f>
        <v/>
      </c>
      <c r="F283" s="50" t="str">
        <f>IF($A283="","",MAX(0,$C283-$E283))</f>
        <v/>
      </c>
      <c r="G283" s="50" t="str">
        <f>IF($A283="","",$D283+$E283+Simulador!$B$15)</f>
        <v/>
      </c>
    </row>
    <row r="284" spans="1:7" x14ac:dyDescent="0.3">
      <c r="A284" s="48" t="str">
        <f>IF(ROW()-2&lt;=Simulador!$B$13,ROW()-2,"")</f>
        <v/>
      </c>
      <c r="B284" s="49" t="str">
        <f>IF($A284="","",EDATE(Simulador!$B$10,$A284))</f>
        <v/>
      </c>
      <c r="C284" s="50" t="str">
        <f>IF($A284="","",IF($A284=1,Simulador!$B$11,$F283))</f>
        <v/>
      </c>
      <c r="D284" s="50" t="str">
        <f>IF($A284="","",$C284*Simulador!$B$18)</f>
        <v/>
      </c>
      <c r="E284" s="50" t="str">
        <f>IF($A284="","",MIN(Simulador!$B$19-$D284,$C284))</f>
        <v/>
      </c>
      <c r="F284" s="50" t="str">
        <f>IF($A284="","",MAX(0,$C284-$E284))</f>
        <v/>
      </c>
      <c r="G284" s="50" t="str">
        <f>IF($A284="","",$D284+$E284+Simulador!$B$15)</f>
        <v/>
      </c>
    </row>
    <row r="285" spans="1:7" x14ac:dyDescent="0.3">
      <c r="A285" s="48" t="str">
        <f>IF(ROW()-2&lt;=Simulador!$B$13,ROW()-2,"")</f>
        <v/>
      </c>
      <c r="B285" s="49" t="str">
        <f>IF($A285="","",EDATE(Simulador!$B$10,$A285))</f>
        <v/>
      </c>
      <c r="C285" s="50" t="str">
        <f>IF($A285="","",IF($A285=1,Simulador!$B$11,$F284))</f>
        <v/>
      </c>
      <c r="D285" s="50" t="str">
        <f>IF($A285="","",$C285*Simulador!$B$18)</f>
        <v/>
      </c>
      <c r="E285" s="50" t="str">
        <f>IF($A285="","",MIN(Simulador!$B$19-$D285,$C285))</f>
        <v/>
      </c>
      <c r="F285" s="50" t="str">
        <f>IF($A285="","",MAX(0,$C285-$E285))</f>
        <v/>
      </c>
      <c r="G285" s="50" t="str">
        <f>IF($A285="","",$D285+$E285+Simulador!$B$15)</f>
        <v/>
      </c>
    </row>
    <row r="286" spans="1:7" x14ac:dyDescent="0.3">
      <c r="A286" s="48" t="str">
        <f>IF(ROW()-2&lt;=Simulador!$B$13,ROW()-2,"")</f>
        <v/>
      </c>
      <c r="B286" s="49" t="str">
        <f>IF($A286="","",EDATE(Simulador!$B$10,$A286))</f>
        <v/>
      </c>
      <c r="C286" s="50" t="str">
        <f>IF($A286="","",IF($A286=1,Simulador!$B$11,$F285))</f>
        <v/>
      </c>
      <c r="D286" s="50" t="str">
        <f>IF($A286="","",$C286*Simulador!$B$18)</f>
        <v/>
      </c>
      <c r="E286" s="50" t="str">
        <f>IF($A286="","",MIN(Simulador!$B$19-$D286,$C286))</f>
        <v/>
      </c>
      <c r="F286" s="50" t="str">
        <f>IF($A286="","",MAX(0,$C286-$E286))</f>
        <v/>
      </c>
      <c r="G286" s="50" t="str">
        <f>IF($A286="","",$D286+$E286+Simulador!$B$15)</f>
        <v/>
      </c>
    </row>
    <row r="287" spans="1:7" x14ac:dyDescent="0.3">
      <c r="A287" s="48" t="str">
        <f>IF(ROW()-2&lt;=Simulador!$B$13,ROW()-2,"")</f>
        <v/>
      </c>
      <c r="B287" s="49" t="str">
        <f>IF($A287="","",EDATE(Simulador!$B$10,$A287))</f>
        <v/>
      </c>
      <c r="C287" s="50" t="str">
        <f>IF($A287="","",IF($A287=1,Simulador!$B$11,$F286))</f>
        <v/>
      </c>
      <c r="D287" s="50" t="str">
        <f>IF($A287="","",$C287*Simulador!$B$18)</f>
        <v/>
      </c>
      <c r="E287" s="50" t="str">
        <f>IF($A287="","",MIN(Simulador!$B$19-$D287,$C287))</f>
        <v/>
      </c>
      <c r="F287" s="50" t="str">
        <f>IF($A287="","",MAX(0,$C287-$E287))</f>
        <v/>
      </c>
      <c r="G287" s="50" t="str">
        <f>IF($A287="","",$D287+$E287+Simulador!$B$15)</f>
        <v/>
      </c>
    </row>
    <row r="288" spans="1:7" x14ac:dyDescent="0.3">
      <c r="A288" s="48" t="str">
        <f>IF(ROW()-2&lt;=Simulador!$B$13,ROW()-2,"")</f>
        <v/>
      </c>
      <c r="B288" s="49" t="str">
        <f>IF($A288="","",EDATE(Simulador!$B$10,$A288))</f>
        <v/>
      </c>
      <c r="C288" s="50" t="str">
        <f>IF($A288="","",IF($A288=1,Simulador!$B$11,$F287))</f>
        <v/>
      </c>
      <c r="D288" s="50" t="str">
        <f>IF($A288="","",$C288*Simulador!$B$18)</f>
        <v/>
      </c>
      <c r="E288" s="50" t="str">
        <f>IF($A288="","",MIN(Simulador!$B$19-$D288,$C288))</f>
        <v/>
      </c>
      <c r="F288" s="50" t="str">
        <f>IF($A288="","",MAX(0,$C288-$E288))</f>
        <v/>
      </c>
      <c r="G288" s="50" t="str">
        <f>IF($A288="","",$D288+$E288+Simulador!$B$15)</f>
        <v/>
      </c>
    </row>
    <row r="289" spans="1:7" x14ac:dyDescent="0.3">
      <c r="A289" s="48" t="str">
        <f>IF(ROW()-2&lt;=Simulador!$B$13,ROW()-2,"")</f>
        <v/>
      </c>
      <c r="B289" s="49" t="str">
        <f>IF($A289="","",EDATE(Simulador!$B$10,$A289))</f>
        <v/>
      </c>
      <c r="C289" s="50" t="str">
        <f>IF($A289="","",IF($A289=1,Simulador!$B$11,$F288))</f>
        <v/>
      </c>
      <c r="D289" s="50" t="str">
        <f>IF($A289="","",$C289*Simulador!$B$18)</f>
        <v/>
      </c>
      <c r="E289" s="50" t="str">
        <f>IF($A289="","",MIN(Simulador!$B$19-$D289,$C289))</f>
        <v/>
      </c>
      <c r="F289" s="50" t="str">
        <f>IF($A289="","",MAX(0,$C289-$E289))</f>
        <v/>
      </c>
      <c r="G289" s="50" t="str">
        <f>IF($A289="","",$D289+$E289+Simulador!$B$15)</f>
        <v/>
      </c>
    </row>
    <row r="290" spans="1:7" x14ac:dyDescent="0.3">
      <c r="A290" s="48" t="str">
        <f>IF(ROW()-2&lt;=Simulador!$B$13,ROW()-2,"")</f>
        <v/>
      </c>
      <c r="B290" s="49" t="str">
        <f>IF($A290="","",EDATE(Simulador!$B$10,$A290))</f>
        <v/>
      </c>
      <c r="C290" s="50" t="str">
        <f>IF($A290="","",IF($A290=1,Simulador!$B$11,$F289))</f>
        <v/>
      </c>
      <c r="D290" s="50" t="str">
        <f>IF($A290="","",$C290*Simulador!$B$18)</f>
        <v/>
      </c>
      <c r="E290" s="50" t="str">
        <f>IF($A290="","",MIN(Simulador!$B$19-$D290,$C290))</f>
        <v/>
      </c>
      <c r="F290" s="50" t="str">
        <f>IF($A290="","",MAX(0,$C290-$E290))</f>
        <v/>
      </c>
      <c r="G290" s="50" t="str">
        <f>IF($A290="","",$D290+$E290+Simulador!$B$15)</f>
        <v/>
      </c>
    </row>
    <row r="291" spans="1:7" x14ac:dyDescent="0.3">
      <c r="A291" s="48" t="str">
        <f>IF(ROW()-2&lt;=Simulador!$B$13,ROW()-2,"")</f>
        <v/>
      </c>
      <c r="B291" s="49" t="str">
        <f>IF($A291="","",EDATE(Simulador!$B$10,$A291))</f>
        <v/>
      </c>
      <c r="C291" s="50" t="str">
        <f>IF($A291="","",IF($A291=1,Simulador!$B$11,$F290))</f>
        <v/>
      </c>
      <c r="D291" s="50" t="str">
        <f>IF($A291="","",$C291*Simulador!$B$18)</f>
        <v/>
      </c>
      <c r="E291" s="50" t="str">
        <f>IF($A291="","",MIN(Simulador!$B$19-$D291,$C291))</f>
        <v/>
      </c>
      <c r="F291" s="50" t="str">
        <f>IF($A291="","",MAX(0,$C291-$E291))</f>
        <v/>
      </c>
      <c r="G291" s="50" t="str">
        <f>IF($A291="","",$D291+$E291+Simulador!$B$15)</f>
        <v/>
      </c>
    </row>
    <row r="292" spans="1:7" x14ac:dyDescent="0.3">
      <c r="A292" s="48" t="str">
        <f>IF(ROW()-2&lt;=Simulador!$B$13,ROW()-2,"")</f>
        <v/>
      </c>
      <c r="B292" s="49" t="str">
        <f>IF($A292="","",EDATE(Simulador!$B$10,$A292))</f>
        <v/>
      </c>
      <c r="C292" s="50" t="str">
        <f>IF($A292="","",IF($A292=1,Simulador!$B$11,$F291))</f>
        <v/>
      </c>
      <c r="D292" s="50" t="str">
        <f>IF($A292="","",$C292*Simulador!$B$18)</f>
        <v/>
      </c>
      <c r="E292" s="50" t="str">
        <f>IF($A292="","",MIN(Simulador!$B$19-$D292,$C292))</f>
        <v/>
      </c>
      <c r="F292" s="50" t="str">
        <f>IF($A292="","",MAX(0,$C292-$E292))</f>
        <v/>
      </c>
      <c r="G292" s="50" t="str">
        <f>IF($A292="","",$D292+$E292+Simulador!$B$15)</f>
        <v/>
      </c>
    </row>
    <row r="293" spans="1:7" x14ac:dyDescent="0.3">
      <c r="A293" s="48" t="str">
        <f>IF(ROW()-2&lt;=Simulador!$B$13,ROW()-2,"")</f>
        <v/>
      </c>
      <c r="B293" s="49" t="str">
        <f>IF($A293="","",EDATE(Simulador!$B$10,$A293))</f>
        <v/>
      </c>
      <c r="C293" s="50" t="str">
        <f>IF($A293="","",IF($A293=1,Simulador!$B$11,$F292))</f>
        <v/>
      </c>
      <c r="D293" s="50" t="str">
        <f>IF($A293="","",$C293*Simulador!$B$18)</f>
        <v/>
      </c>
      <c r="E293" s="50" t="str">
        <f>IF($A293="","",MIN(Simulador!$B$19-$D293,$C293))</f>
        <v/>
      </c>
      <c r="F293" s="50" t="str">
        <f>IF($A293="","",MAX(0,$C293-$E293))</f>
        <v/>
      </c>
      <c r="G293" s="50" t="str">
        <f>IF($A293="","",$D293+$E293+Simulador!$B$15)</f>
        <v/>
      </c>
    </row>
    <row r="294" spans="1:7" x14ac:dyDescent="0.3">
      <c r="A294" s="48" t="str">
        <f>IF(ROW()-2&lt;=Simulador!$B$13,ROW()-2,"")</f>
        <v/>
      </c>
      <c r="B294" s="49" t="str">
        <f>IF($A294="","",EDATE(Simulador!$B$10,$A294))</f>
        <v/>
      </c>
      <c r="C294" s="50" t="str">
        <f>IF($A294="","",IF($A294=1,Simulador!$B$11,$F293))</f>
        <v/>
      </c>
      <c r="D294" s="50" t="str">
        <f>IF($A294="","",$C294*Simulador!$B$18)</f>
        <v/>
      </c>
      <c r="E294" s="50" t="str">
        <f>IF($A294="","",MIN(Simulador!$B$19-$D294,$C294))</f>
        <v/>
      </c>
      <c r="F294" s="50" t="str">
        <f>IF($A294="","",MAX(0,$C294-$E294))</f>
        <v/>
      </c>
      <c r="G294" s="50" t="str">
        <f>IF($A294="","",$D294+$E294+Simulador!$B$15)</f>
        <v/>
      </c>
    </row>
    <row r="295" spans="1:7" x14ac:dyDescent="0.3">
      <c r="A295" s="48" t="str">
        <f>IF(ROW()-2&lt;=Simulador!$B$13,ROW()-2,"")</f>
        <v/>
      </c>
      <c r="B295" s="49" t="str">
        <f>IF($A295="","",EDATE(Simulador!$B$10,$A295))</f>
        <v/>
      </c>
      <c r="C295" s="50" t="str">
        <f>IF($A295="","",IF($A295=1,Simulador!$B$11,$F294))</f>
        <v/>
      </c>
      <c r="D295" s="50" t="str">
        <f>IF($A295="","",$C295*Simulador!$B$18)</f>
        <v/>
      </c>
      <c r="E295" s="50" t="str">
        <f>IF($A295="","",MIN(Simulador!$B$19-$D295,$C295))</f>
        <v/>
      </c>
      <c r="F295" s="50" t="str">
        <f>IF($A295="","",MAX(0,$C295-$E295))</f>
        <v/>
      </c>
      <c r="G295" s="50" t="str">
        <f>IF($A295="","",$D295+$E295+Simulador!$B$15)</f>
        <v/>
      </c>
    </row>
    <row r="296" spans="1:7" x14ac:dyDescent="0.3">
      <c r="A296" s="48" t="str">
        <f>IF(ROW()-2&lt;=Simulador!$B$13,ROW()-2,"")</f>
        <v/>
      </c>
      <c r="B296" s="49" t="str">
        <f>IF($A296="","",EDATE(Simulador!$B$10,$A296))</f>
        <v/>
      </c>
      <c r="C296" s="50" t="str">
        <f>IF($A296="","",IF($A296=1,Simulador!$B$11,$F295))</f>
        <v/>
      </c>
      <c r="D296" s="50" t="str">
        <f>IF($A296="","",$C296*Simulador!$B$18)</f>
        <v/>
      </c>
      <c r="E296" s="50" t="str">
        <f>IF($A296="","",MIN(Simulador!$B$19-$D296,$C296))</f>
        <v/>
      </c>
      <c r="F296" s="50" t="str">
        <f>IF($A296="","",MAX(0,$C296-$E296))</f>
        <v/>
      </c>
      <c r="G296" s="50" t="str">
        <f>IF($A296="","",$D296+$E296+Simulador!$B$15)</f>
        <v/>
      </c>
    </row>
    <row r="297" spans="1:7" x14ac:dyDescent="0.3">
      <c r="A297" s="48" t="str">
        <f>IF(ROW()-2&lt;=Simulador!$B$13,ROW()-2,"")</f>
        <v/>
      </c>
      <c r="B297" s="49" t="str">
        <f>IF($A297="","",EDATE(Simulador!$B$10,$A297))</f>
        <v/>
      </c>
      <c r="C297" s="50" t="str">
        <f>IF($A297="","",IF($A297=1,Simulador!$B$11,$F296))</f>
        <v/>
      </c>
      <c r="D297" s="50" t="str">
        <f>IF($A297="","",$C297*Simulador!$B$18)</f>
        <v/>
      </c>
      <c r="E297" s="50" t="str">
        <f>IF($A297="","",MIN(Simulador!$B$19-$D297,$C297))</f>
        <v/>
      </c>
      <c r="F297" s="50" t="str">
        <f>IF($A297="","",MAX(0,$C297-$E297))</f>
        <v/>
      </c>
      <c r="G297" s="50" t="str">
        <f>IF($A297="","",$D297+$E297+Simulador!$B$15)</f>
        <v/>
      </c>
    </row>
    <row r="298" spans="1:7" x14ac:dyDescent="0.3">
      <c r="A298" s="48" t="str">
        <f>IF(ROW()-2&lt;=Simulador!$B$13,ROW()-2,"")</f>
        <v/>
      </c>
      <c r="B298" s="49" t="str">
        <f>IF($A298="","",EDATE(Simulador!$B$10,$A298))</f>
        <v/>
      </c>
      <c r="C298" s="50" t="str">
        <f>IF($A298="","",IF($A298=1,Simulador!$B$11,$F297))</f>
        <v/>
      </c>
      <c r="D298" s="50" t="str">
        <f>IF($A298="","",$C298*Simulador!$B$18)</f>
        <v/>
      </c>
      <c r="E298" s="50" t="str">
        <f>IF($A298="","",MIN(Simulador!$B$19-$D298,$C298))</f>
        <v/>
      </c>
      <c r="F298" s="50" t="str">
        <f>IF($A298="","",MAX(0,$C298-$E298))</f>
        <v/>
      </c>
      <c r="G298" s="50" t="str">
        <f>IF($A298="","",$D298+$E298+Simulador!$B$15)</f>
        <v/>
      </c>
    </row>
    <row r="299" spans="1:7" x14ac:dyDescent="0.3">
      <c r="A299" s="48" t="str">
        <f>IF(ROW()-2&lt;=Simulador!$B$13,ROW()-2,"")</f>
        <v/>
      </c>
      <c r="B299" s="49" t="str">
        <f>IF($A299="","",EDATE(Simulador!$B$10,$A299))</f>
        <v/>
      </c>
      <c r="C299" s="50" t="str">
        <f>IF($A299="","",IF($A299=1,Simulador!$B$11,$F298))</f>
        <v/>
      </c>
      <c r="D299" s="50" t="str">
        <f>IF($A299="","",$C299*Simulador!$B$18)</f>
        <v/>
      </c>
      <c r="E299" s="50" t="str">
        <f>IF($A299="","",MIN(Simulador!$B$19-$D299,$C299))</f>
        <v/>
      </c>
      <c r="F299" s="50" t="str">
        <f>IF($A299="","",MAX(0,$C299-$E299))</f>
        <v/>
      </c>
      <c r="G299" s="50" t="str">
        <f>IF($A299="","",$D299+$E299+Simulador!$B$15)</f>
        <v/>
      </c>
    </row>
    <row r="300" spans="1:7" x14ac:dyDescent="0.3">
      <c r="A300" s="48" t="str">
        <f>IF(ROW()-2&lt;=Simulador!$B$13,ROW()-2,"")</f>
        <v/>
      </c>
      <c r="B300" s="49" t="str">
        <f>IF($A300="","",EDATE(Simulador!$B$10,$A300))</f>
        <v/>
      </c>
      <c r="C300" s="50" t="str">
        <f>IF($A300="","",IF($A300=1,Simulador!$B$11,$F299))</f>
        <v/>
      </c>
      <c r="D300" s="50" t="str">
        <f>IF($A300="","",$C300*Simulador!$B$18)</f>
        <v/>
      </c>
      <c r="E300" s="50" t="str">
        <f>IF($A300="","",MIN(Simulador!$B$19-$D300,$C300))</f>
        <v/>
      </c>
      <c r="F300" s="50" t="str">
        <f>IF($A300="","",MAX(0,$C300-$E300))</f>
        <v/>
      </c>
      <c r="G300" s="50" t="str">
        <f>IF($A300="","",$D300+$E300+Simulador!$B$15)</f>
        <v/>
      </c>
    </row>
    <row r="301" spans="1:7" x14ac:dyDescent="0.3">
      <c r="A301" s="48" t="str">
        <f>IF(ROW()-2&lt;=Simulador!$B$13,ROW()-2,"")</f>
        <v/>
      </c>
      <c r="B301" s="49" t="str">
        <f>IF($A301="","",EDATE(Simulador!$B$10,$A301))</f>
        <v/>
      </c>
      <c r="C301" s="50" t="str">
        <f>IF($A301="","",IF($A301=1,Simulador!$B$11,$F300))</f>
        <v/>
      </c>
      <c r="D301" s="50" t="str">
        <f>IF($A301="","",$C301*Simulador!$B$18)</f>
        <v/>
      </c>
      <c r="E301" s="50" t="str">
        <f>IF($A301="","",MIN(Simulador!$B$19-$D301,$C301))</f>
        <v/>
      </c>
      <c r="F301" s="50" t="str">
        <f>IF($A301="","",MAX(0,$C301-$E301))</f>
        <v/>
      </c>
      <c r="G301" s="50" t="str">
        <f>IF($A301="","",$D301+$E301+Simulador!$B$15)</f>
        <v/>
      </c>
    </row>
    <row r="302" spans="1:7" x14ac:dyDescent="0.3">
      <c r="A302" s="48" t="str">
        <f>IF(ROW()-2&lt;=Simulador!$B$13,ROW()-2,"")</f>
        <v/>
      </c>
      <c r="B302" s="49" t="str">
        <f>IF($A302="","",EDATE(Simulador!$B$10,$A302))</f>
        <v/>
      </c>
      <c r="C302" s="50" t="str">
        <f>IF($A302="","",IF($A302=1,Simulador!$B$11,$F301))</f>
        <v/>
      </c>
      <c r="D302" s="50" t="str">
        <f>IF($A302="","",$C302*Simulador!$B$18)</f>
        <v/>
      </c>
      <c r="E302" s="50" t="str">
        <f>IF($A302="","",MIN(Simulador!$B$19-$D302,$C302))</f>
        <v/>
      </c>
      <c r="F302" s="50" t="str">
        <f>IF($A302="","",MAX(0,$C302-$E302))</f>
        <v/>
      </c>
      <c r="G302" s="50" t="str">
        <f>IF($A302="","",$D302+$E302+Simulador!$B$15)</f>
        <v/>
      </c>
    </row>
    <row r="303" spans="1:7" x14ac:dyDescent="0.3">
      <c r="A303" s="48" t="str">
        <f>IF(ROW()-2&lt;=Simulador!$B$13,ROW()-2,"")</f>
        <v/>
      </c>
      <c r="B303" s="49" t="str">
        <f>IF($A303="","",EDATE(Simulador!$B$10,$A303))</f>
        <v/>
      </c>
      <c r="C303" s="50" t="str">
        <f>IF($A303="","",IF($A303=1,Simulador!$B$11,$F302))</f>
        <v/>
      </c>
      <c r="D303" s="50" t="str">
        <f>IF($A303="","",$C303*Simulador!$B$18)</f>
        <v/>
      </c>
      <c r="E303" s="50" t="str">
        <f>IF($A303="","",MIN(Simulador!$B$19-$D303,$C303))</f>
        <v/>
      </c>
      <c r="F303" s="50" t="str">
        <f>IF($A303="","",MAX(0,$C303-$E303))</f>
        <v/>
      </c>
      <c r="G303" s="50" t="str">
        <f>IF($A303="","",$D303+$E303+Simulador!$B$15)</f>
        <v/>
      </c>
    </row>
    <row r="304" spans="1:7" x14ac:dyDescent="0.3">
      <c r="A304" s="48" t="str">
        <f>IF(ROW()-2&lt;=Simulador!$B$13,ROW()-2,"")</f>
        <v/>
      </c>
      <c r="B304" s="49" t="str">
        <f>IF($A304="","",EDATE(Simulador!$B$10,$A304))</f>
        <v/>
      </c>
      <c r="C304" s="50" t="str">
        <f>IF($A304="","",IF($A304=1,Simulador!$B$11,$F303))</f>
        <v/>
      </c>
      <c r="D304" s="50" t="str">
        <f>IF($A304="","",$C304*Simulador!$B$18)</f>
        <v/>
      </c>
      <c r="E304" s="50" t="str">
        <f>IF($A304="","",MIN(Simulador!$B$19-$D304,$C304))</f>
        <v/>
      </c>
      <c r="F304" s="50" t="str">
        <f>IF($A304="","",MAX(0,$C304-$E304))</f>
        <v/>
      </c>
      <c r="G304" s="50" t="str">
        <f>IF($A304="","",$D304+$E304+Simulador!$B$15)</f>
        <v/>
      </c>
    </row>
    <row r="305" spans="1:7" x14ac:dyDescent="0.3">
      <c r="A305" s="48" t="str">
        <f>IF(ROW()-2&lt;=Simulador!$B$13,ROW()-2,"")</f>
        <v/>
      </c>
      <c r="B305" s="49" t="str">
        <f>IF($A305="","",EDATE(Simulador!$B$10,$A305))</f>
        <v/>
      </c>
      <c r="C305" s="50" t="str">
        <f>IF($A305="","",IF($A305=1,Simulador!$B$11,$F304))</f>
        <v/>
      </c>
      <c r="D305" s="50" t="str">
        <f>IF($A305="","",$C305*Simulador!$B$18)</f>
        <v/>
      </c>
      <c r="E305" s="50" t="str">
        <f>IF($A305="","",MIN(Simulador!$B$19-$D305,$C305))</f>
        <v/>
      </c>
      <c r="F305" s="50" t="str">
        <f>IF($A305="","",MAX(0,$C305-$E305))</f>
        <v/>
      </c>
      <c r="G305" s="50" t="str">
        <f>IF($A305="","",$D305+$E305+Simulador!$B$15)</f>
        <v/>
      </c>
    </row>
    <row r="306" spans="1:7" x14ac:dyDescent="0.3">
      <c r="A306" s="48" t="str">
        <f>IF(ROW()-2&lt;=Simulador!$B$13,ROW()-2,"")</f>
        <v/>
      </c>
      <c r="B306" s="49" t="str">
        <f>IF($A306="","",EDATE(Simulador!$B$10,$A306))</f>
        <v/>
      </c>
      <c r="C306" s="50" t="str">
        <f>IF($A306="","",IF($A306=1,Simulador!$B$11,$F305))</f>
        <v/>
      </c>
      <c r="D306" s="50" t="str">
        <f>IF($A306="","",$C306*Simulador!$B$18)</f>
        <v/>
      </c>
      <c r="E306" s="50" t="str">
        <f>IF($A306="","",MIN(Simulador!$B$19-$D306,$C306))</f>
        <v/>
      </c>
      <c r="F306" s="50" t="str">
        <f>IF($A306="","",MAX(0,$C306-$E306))</f>
        <v/>
      </c>
      <c r="G306" s="50" t="str">
        <f>IF($A306="","",$D306+$E306+Simulador!$B$15)</f>
        <v/>
      </c>
    </row>
    <row r="307" spans="1:7" x14ac:dyDescent="0.3">
      <c r="A307" s="48" t="str">
        <f>IF(ROW()-2&lt;=Simulador!$B$13,ROW()-2,"")</f>
        <v/>
      </c>
      <c r="B307" s="49" t="str">
        <f>IF($A307="","",EDATE(Simulador!$B$10,$A307))</f>
        <v/>
      </c>
      <c r="C307" s="50" t="str">
        <f>IF($A307="","",IF($A307=1,Simulador!$B$11,$F306))</f>
        <v/>
      </c>
      <c r="D307" s="50" t="str">
        <f>IF($A307="","",$C307*Simulador!$B$18)</f>
        <v/>
      </c>
      <c r="E307" s="50" t="str">
        <f>IF($A307="","",MIN(Simulador!$B$19-$D307,$C307))</f>
        <v/>
      </c>
      <c r="F307" s="50" t="str">
        <f>IF($A307="","",MAX(0,$C307-$E307))</f>
        <v/>
      </c>
      <c r="G307" s="50" t="str">
        <f>IF($A307="","",$D307+$E307+Simulador!$B$15)</f>
        <v/>
      </c>
    </row>
    <row r="308" spans="1:7" x14ac:dyDescent="0.3">
      <c r="A308" s="48" t="str">
        <f>IF(ROW()-2&lt;=Simulador!$B$13,ROW()-2,"")</f>
        <v/>
      </c>
      <c r="B308" s="49" t="str">
        <f>IF($A308="","",EDATE(Simulador!$B$10,$A308))</f>
        <v/>
      </c>
      <c r="C308" s="50" t="str">
        <f>IF($A308="","",IF($A308=1,Simulador!$B$11,$F307))</f>
        <v/>
      </c>
      <c r="D308" s="50" t="str">
        <f>IF($A308="","",$C308*Simulador!$B$18)</f>
        <v/>
      </c>
      <c r="E308" s="50" t="str">
        <f>IF($A308="","",MIN(Simulador!$B$19-$D308,$C308))</f>
        <v/>
      </c>
      <c r="F308" s="50" t="str">
        <f>IF($A308="","",MAX(0,$C308-$E308))</f>
        <v/>
      </c>
      <c r="G308" s="50" t="str">
        <f>IF($A308="","",$D308+$E308+Simulador!$B$15)</f>
        <v/>
      </c>
    </row>
    <row r="309" spans="1:7" x14ac:dyDescent="0.3">
      <c r="A309" s="48" t="str">
        <f>IF(ROW()-2&lt;=Simulador!$B$13,ROW()-2,"")</f>
        <v/>
      </c>
      <c r="B309" s="49" t="str">
        <f>IF($A309="","",EDATE(Simulador!$B$10,$A309))</f>
        <v/>
      </c>
      <c r="C309" s="50" t="str">
        <f>IF($A309="","",IF($A309=1,Simulador!$B$11,$F308))</f>
        <v/>
      </c>
      <c r="D309" s="50" t="str">
        <f>IF($A309="","",$C309*Simulador!$B$18)</f>
        <v/>
      </c>
      <c r="E309" s="50" t="str">
        <f>IF($A309="","",MIN(Simulador!$B$19-$D309,$C309))</f>
        <v/>
      </c>
      <c r="F309" s="50" t="str">
        <f>IF($A309="","",MAX(0,$C309-$E309))</f>
        <v/>
      </c>
      <c r="G309" s="50" t="str">
        <f>IF($A309="","",$D309+$E309+Simulador!$B$15)</f>
        <v/>
      </c>
    </row>
    <row r="310" spans="1:7" x14ac:dyDescent="0.3">
      <c r="A310" s="48" t="str">
        <f>IF(ROW()-2&lt;=Simulador!$B$13,ROW()-2,"")</f>
        <v/>
      </c>
      <c r="B310" s="49" t="str">
        <f>IF($A310="","",EDATE(Simulador!$B$10,$A310))</f>
        <v/>
      </c>
      <c r="C310" s="50" t="str">
        <f>IF($A310="","",IF($A310=1,Simulador!$B$11,$F309))</f>
        <v/>
      </c>
      <c r="D310" s="50" t="str">
        <f>IF($A310="","",$C310*Simulador!$B$18)</f>
        <v/>
      </c>
      <c r="E310" s="50" t="str">
        <f>IF($A310="","",MIN(Simulador!$B$19-$D310,$C310))</f>
        <v/>
      </c>
      <c r="F310" s="50" t="str">
        <f>IF($A310="","",MAX(0,$C310-$E310))</f>
        <v/>
      </c>
      <c r="G310" s="50" t="str">
        <f>IF($A310="","",$D310+$E310+Simulador!$B$15)</f>
        <v/>
      </c>
    </row>
    <row r="311" spans="1:7" x14ac:dyDescent="0.3">
      <c r="A311" s="48" t="str">
        <f>IF(ROW()-2&lt;=Simulador!$B$13,ROW()-2,"")</f>
        <v/>
      </c>
      <c r="B311" s="49" t="str">
        <f>IF($A311="","",EDATE(Simulador!$B$10,$A311))</f>
        <v/>
      </c>
      <c r="C311" s="50" t="str">
        <f>IF($A311="","",IF($A311=1,Simulador!$B$11,$F310))</f>
        <v/>
      </c>
      <c r="D311" s="50" t="str">
        <f>IF($A311="","",$C311*Simulador!$B$18)</f>
        <v/>
      </c>
      <c r="E311" s="50" t="str">
        <f>IF($A311="","",MIN(Simulador!$B$19-$D311,$C311))</f>
        <v/>
      </c>
      <c r="F311" s="50" t="str">
        <f>IF($A311="","",MAX(0,$C311-$E311))</f>
        <v/>
      </c>
      <c r="G311" s="50" t="str">
        <f>IF($A311="","",$D311+$E311+Simulador!$B$15)</f>
        <v/>
      </c>
    </row>
    <row r="312" spans="1:7" x14ac:dyDescent="0.3">
      <c r="A312" s="48" t="str">
        <f>IF(ROW()-2&lt;=Simulador!$B$13,ROW()-2,"")</f>
        <v/>
      </c>
      <c r="B312" s="49" t="str">
        <f>IF($A312="","",EDATE(Simulador!$B$10,$A312))</f>
        <v/>
      </c>
      <c r="C312" s="50" t="str">
        <f>IF($A312="","",IF($A312=1,Simulador!$B$11,$F311))</f>
        <v/>
      </c>
      <c r="D312" s="50" t="str">
        <f>IF($A312="","",$C312*Simulador!$B$18)</f>
        <v/>
      </c>
      <c r="E312" s="50" t="str">
        <f>IF($A312="","",MIN(Simulador!$B$19-$D312,$C312))</f>
        <v/>
      </c>
      <c r="F312" s="50" t="str">
        <f>IF($A312="","",MAX(0,$C312-$E312))</f>
        <v/>
      </c>
      <c r="G312" s="50" t="str">
        <f>IF($A312="","",$D312+$E312+Simulador!$B$15)</f>
        <v/>
      </c>
    </row>
    <row r="313" spans="1:7" x14ac:dyDescent="0.3">
      <c r="A313" s="48" t="str">
        <f>IF(ROW()-2&lt;=Simulador!$B$13,ROW()-2,"")</f>
        <v/>
      </c>
      <c r="B313" s="49" t="str">
        <f>IF($A313="","",EDATE(Simulador!$B$10,$A313))</f>
        <v/>
      </c>
      <c r="C313" s="50" t="str">
        <f>IF($A313="","",IF($A313=1,Simulador!$B$11,$F312))</f>
        <v/>
      </c>
      <c r="D313" s="50" t="str">
        <f>IF($A313="","",$C313*Simulador!$B$18)</f>
        <v/>
      </c>
      <c r="E313" s="50" t="str">
        <f>IF($A313="","",MIN(Simulador!$B$19-$D313,$C313))</f>
        <v/>
      </c>
      <c r="F313" s="50" t="str">
        <f>IF($A313="","",MAX(0,$C313-$E313))</f>
        <v/>
      </c>
      <c r="G313" s="50" t="str">
        <f>IF($A313="","",$D313+$E313+Simulador!$B$15)</f>
        <v/>
      </c>
    </row>
    <row r="314" spans="1:7" x14ac:dyDescent="0.3">
      <c r="A314" s="48" t="str">
        <f>IF(ROW()-2&lt;=Simulador!$B$13,ROW()-2,"")</f>
        <v/>
      </c>
      <c r="B314" s="49" t="str">
        <f>IF($A314="","",EDATE(Simulador!$B$10,$A314))</f>
        <v/>
      </c>
      <c r="C314" s="50" t="str">
        <f>IF($A314="","",IF($A314=1,Simulador!$B$11,$F313))</f>
        <v/>
      </c>
      <c r="D314" s="50" t="str">
        <f>IF($A314="","",$C314*Simulador!$B$18)</f>
        <v/>
      </c>
      <c r="E314" s="50" t="str">
        <f>IF($A314="","",MIN(Simulador!$B$19-$D314,$C314))</f>
        <v/>
      </c>
      <c r="F314" s="50" t="str">
        <f>IF($A314="","",MAX(0,$C314-$E314))</f>
        <v/>
      </c>
      <c r="G314" s="50" t="str">
        <f>IF($A314="","",$D314+$E314+Simulador!$B$15)</f>
        <v/>
      </c>
    </row>
    <row r="315" spans="1:7" x14ac:dyDescent="0.3">
      <c r="A315" s="48" t="str">
        <f>IF(ROW()-2&lt;=Simulador!$B$13,ROW()-2,"")</f>
        <v/>
      </c>
      <c r="B315" s="49" t="str">
        <f>IF($A315="","",EDATE(Simulador!$B$10,$A315))</f>
        <v/>
      </c>
      <c r="C315" s="50" t="str">
        <f>IF($A315="","",IF($A315=1,Simulador!$B$11,$F314))</f>
        <v/>
      </c>
      <c r="D315" s="50" t="str">
        <f>IF($A315="","",$C315*Simulador!$B$18)</f>
        <v/>
      </c>
      <c r="E315" s="50" t="str">
        <f>IF($A315="","",MIN(Simulador!$B$19-$D315,$C315))</f>
        <v/>
      </c>
      <c r="F315" s="50" t="str">
        <f>IF($A315="","",MAX(0,$C315-$E315))</f>
        <v/>
      </c>
      <c r="G315" s="50" t="str">
        <f>IF($A315="","",$D315+$E315+Simulador!$B$15)</f>
        <v/>
      </c>
    </row>
    <row r="316" spans="1:7" x14ac:dyDescent="0.3">
      <c r="A316" s="48" t="str">
        <f>IF(ROW()-2&lt;=Simulador!$B$13,ROW()-2,"")</f>
        <v/>
      </c>
      <c r="B316" s="49" t="str">
        <f>IF($A316="","",EDATE(Simulador!$B$10,$A316))</f>
        <v/>
      </c>
      <c r="C316" s="50" t="str">
        <f>IF($A316="","",IF($A316=1,Simulador!$B$11,$F315))</f>
        <v/>
      </c>
      <c r="D316" s="50" t="str">
        <f>IF($A316="","",$C316*Simulador!$B$18)</f>
        <v/>
      </c>
      <c r="E316" s="50" t="str">
        <f>IF($A316="","",MIN(Simulador!$B$19-$D316,$C316))</f>
        <v/>
      </c>
      <c r="F316" s="50" t="str">
        <f>IF($A316="","",MAX(0,$C316-$E316))</f>
        <v/>
      </c>
      <c r="G316" s="50" t="str">
        <f>IF($A316="","",$D316+$E316+Simulador!$B$15)</f>
        <v/>
      </c>
    </row>
    <row r="317" spans="1:7" x14ac:dyDescent="0.3">
      <c r="A317" s="48" t="str">
        <f>IF(ROW()-2&lt;=Simulador!$B$13,ROW()-2,"")</f>
        <v/>
      </c>
      <c r="B317" s="49" t="str">
        <f>IF($A317="","",EDATE(Simulador!$B$10,$A317))</f>
        <v/>
      </c>
      <c r="C317" s="50" t="str">
        <f>IF($A317="","",IF($A317=1,Simulador!$B$11,$F316))</f>
        <v/>
      </c>
      <c r="D317" s="50" t="str">
        <f>IF($A317="","",$C317*Simulador!$B$18)</f>
        <v/>
      </c>
      <c r="E317" s="50" t="str">
        <f>IF($A317="","",MIN(Simulador!$B$19-$D317,$C317))</f>
        <v/>
      </c>
      <c r="F317" s="50" t="str">
        <f>IF($A317="","",MAX(0,$C317-$E317))</f>
        <v/>
      </c>
      <c r="G317" s="50" t="str">
        <f>IF($A317="","",$D317+$E317+Simulador!$B$15)</f>
        <v/>
      </c>
    </row>
    <row r="318" spans="1:7" x14ac:dyDescent="0.3">
      <c r="A318" s="48" t="str">
        <f>IF(ROW()-2&lt;=Simulador!$B$13,ROW()-2,"")</f>
        <v/>
      </c>
      <c r="B318" s="49" t="str">
        <f>IF($A318="","",EDATE(Simulador!$B$10,$A318))</f>
        <v/>
      </c>
      <c r="C318" s="50" t="str">
        <f>IF($A318="","",IF($A318=1,Simulador!$B$11,$F317))</f>
        <v/>
      </c>
      <c r="D318" s="50" t="str">
        <f>IF($A318="","",$C318*Simulador!$B$18)</f>
        <v/>
      </c>
      <c r="E318" s="50" t="str">
        <f>IF($A318="","",MIN(Simulador!$B$19-$D318,$C318))</f>
        <v/>
      </c>
      <c r="F318" s="50" t="str">
        <f>IF($A318="","",MAX(0,$C318-$E318))</f>
        <v/>
      </c>
      <c r="G318" s="50" t="str">
        <f>IF($A318="","",$D318+$E318+Simulador!$B$15)</f>
        <v/>
      </c>
    </row>
    <row r="319" spans="1:7" x14ac:dyDescent="0.3">
      <c r="A319" s="48" t="str">
        <f>IF(ROW()-2&lt;=Simulador!$B$13,ROW()-2,"")</f>
        <v/>
      </c>
      <c r="B319" s="49" t="str">
        <f>IF($A319="","",EDATE(Simulador!$B$10,$A319))</f>
        <v/>
      </c>
      <c r="C319" s="50" t="str">
        <f>IF($A319="","",IF($A319=1,Simulador!$B$11,$F318))</f>
        <v/>
      </c>
      <c r="D319" s="50" t="str">
        <f>IF($A319="","",$C319*Simulador!$B$18)</f>
        <v/>
      </c>
      <c r="E319" s="50" t="str">
        <f>IF($A319="","",MIN(Simulador!$B$19-$D319,$C319))</f>
        <v/>
      </c>
      <c r="F319" s="50" t="str">
        <f>IF($A319="","",MAX(0,$C319-$E319))</f>
        <v/>
      </c>
      <c r="G319" s="50" t="str">
        <f>IF($A319="","",$D319+$E319+Simulador!$B$15)</f>
        <v/>
      </c>
    </row>
    <row r="320" spans="1:7" x14ac:dyDescent="0.3">
      <c r="A320" s="48" t="str">
        <f>IF(ROW()-2&lt;=Simulador!$B$13,ROW()-2,"")</f>
        <v/>
      </c>
      <c r="B320" s="49" t="str">
        <f>IF($A320="","",EDATE(Simulador!$B$10,$A320))</f>
        <v/>
      </c>
      <c r="C320" s="50" t="str">
        <f>IF($A320="","",IF($A320=1,Simulador!$B$11,$F319))</f>
        <v/>
      </c>
      <c r="D320" s="50" t="str">
        <f>IF($A320="","",$C320*Simulador!$B$18)</f>
        <v/>
      </c>
      <c r="E320" s="50" t="str">
        <f>IF($A320="","",MIN(Simulador!$B$19-$D320,$C320))</f>
        <v/>
      </c>
      <c r="F320" s="50" t="str">
        <f>IF($A320="","",MAX(0,$C320-$E320))</f>
        <v/>
      </c>
      <c r="G320" s="50" t="str">
        <f>IF($A320="","",$D320+$E320+Simulador!$B$15)</f>
        <v/>
      </c>
    </row>
    <row r="321" spans="1:7" x14ac:dyDescent="0.3">
      <c r="A321" s="48" t="str">
        <f>IF(ROW()-2&lt;=Simulador!$B$13,ROW()-2,"")</f>
        <v/>
      </c>
      <c r="B321" s="49" t="str">
        <f>IF($A321="","",EDATE(Simulador!$B$10,$A321))</f>
        <v/>
      </c>
      <c r="C321" s="50" t="str">
        <f>IF($A321="","",IF($A321=1,Simulador!$B$11,$F320))</f>
        <v/>
      </c>
      <c r="D321" s="50" t="str">
        <f>IF($A321="","",$C321*Simulador!$B$18)</f>
        <v/>
      </c>
      <c r="E321" s="50" t="str">
        <f>IF($A321="","",MIN(Simulador!$B$19-$D321,$C321))</f>
        <v/>
      </c>
      <c r="F321" s="50" t="str">
        <f>IF($A321="","",MAX(0,$C321-$E321))</f>
        <v/>
      </c>
      <c r="G321" s="50" t="str">
        <f>IF($A321="","",$D321+$E321+Simulador!$B$15)</f>
        <v/>
      </c>
    </row>
    <row r="322" spans="1:7" x14ac:dyDescent="0.3">
      <c r="A322" s="48" t="str">
        <f>IF(ROW()-2&lt;=Simulador!$B$13,ROW()-2,"")</f>
        <v/>
      </c>
      <c r="B322" s="49" t="str">
        <f>IF($A322="","",EDATE(Simulador!$B$10,$A322))</f>
        <v/>
      </c>
      <c r="C322" s="50" t="str">
        <f>IF($A322="","",IF($A322=1,Simulador!$B$11,$F321))</f>
        <v/>
      </c>
      <c r="D322" s="50" t="str">
        <f>IF($A322="","",$C322*Simulador!$B$18)</f>
        <v/>
      </c>
      <c r="E322" s="50" t="str">
        <f>IF($A322="","",MIN(Simulador!$B$19-$D322,$C322))</f>
        <v/>
      </c>
      <c r="F322" s="50" t="str">
        <f>IF($A322="","",MAX(0,$C322-$E322))</f>
        <v/>
      </c>
      <c r="G322" s="50" t="str">
        <f>IF($A322="","",$D322+$E322+Simulador!$B$15)</f>
        <v/>
      </c>
    </row>
    <row r="323" spans="1:7" x14ac:dyDescent="0.3">
      <c r="A323" s="48" t="str">
        <f>IF(ROW()-2&lt;=Simulador!$B$13,ROW()-2,"")</f>
        <v/>
      </c>
      <c r="B323" s="49" t="str">
        <f>IF($A323="","",EDATE(Simulador!$B$10,$A323))</f>
        <v/>
      </c>
      <c r="C323" s="50" t="str">
        <f>IF($A323="","",IF($A323=1,Simulador!$B$11,$F322))</f>
        <v/>
      </c>
      <c r="D323" s="50" t="str">
        <f>IF($A323="","",$C323*Simulador!$B$18)</f>
        <v/>
      </c>
      <c r="E323" s="50" t="str">
        <f>IF($A323="","",MIN(Simulador!$B$19-$D323,$C323))</f>
        <v/>
      </c>
      <c r="F323" s="50" t="str">
        <f>IF($A323="","",MAX(0,$C323-$E323))</f>
        <v/>
      </c>
      <c r="G323" s="50" t="str">
        <f>IF($A323="","",$D323+$E323+Simulador!$B$15)</f>
        <v/>
      </c>
    </row>
    <row r="324" spans="1:7" x14ac:dyDescent="0.3">
      <c r="A324" s="48" t="str">
        <f>IF(ROW()-2&lt;=Simulador!$B$13,ROW()-2,"")</f>
        <v/>
      </c>
      <c r="B324" s="49" t="str">
        <f>IF($A324="","",EDATE(Simulador!$B$10,$A324))</f>
        <v/>
      </c>
      <c r="C324" s="50" t="str">
        <f>IF($A324="","",IF($A324=1,Simulador!$B$11,$F323))</f>
        <v/>
      </c>
      <c r="D324" s="50" t="str">
        <f>IF($A324="","",$C324*Simulador!$B$18)</f>
        <v/>
      </c>
      <c r="E324" s="50" t="str">
        <f>IF($A324="","",MIN(Simulador!$B$19-$D324,$C324))</f>
        <v/>
      </c>
      <c r="F324" s="50" t="str">
        <f>IF($A324="","",MAX(0,$C324-$E324))</f>
        <v/>
      </c>
      <c r="G324" s="50" t="str">
        <f>IF($A324="","",$D324+$E324+Simulador!$B$15)</f>
        <v/>
      </c>
    </row>
    <row r="325" spans="1:7" x14ac:dyDescent="0.3">
      <c r="A325" s="48" t="str">
        <f>IF(ROW()-2&lt;=Simulador!$B$13,ROW()-2,"")</f>
        <v/>
      </c>
      <c r="B325" s="49" t="str">
        <f>IF($A325="","",EDATE(Simulador!$B$10,$A325))</f>
        <v/>
      </c>
      <c r="C325" s="50" t="str">
        <f>IF($A325="","",IF($A325=1,Simulador!$B$11,$F324))</f>
        <v/>
      </c>
      <c r="D325" s="50" t="str">
        <f>IF($A325="","",$C325*Simulador!$B$18)</f>
        <v/>
      </c>
      <c r="E325" s="50" t="str">
        <f>IF($A325="","",MIN(Simulador!$B$19-$D325,$C325))</f>
        <v/>
      </c>
      <c r="F325" s="50" t="str">
        <f>IF($A325="","",MAX(0,$C325-$E325))</f>
        <v/>
      </c>
      <c r="G325" s="50" t="str">
        <f>IF($A325="","",$D325+$E325+Simulador!$B$15)</f>
        <v/>
      </c>
    </row>
    <row r="326" spans="1:7" x14ac:dyDescent="0.3">
      <c r="A326" s="48" t="str">
        <f>IF(ROW()-2&lt;=Simulador!$B$13,ROW()-2,"")</f>
        <v/>
      </c>
      <c r="B326" s="49" t="str">
        <f>IF($A326="","",EDATE(Simulador!$B$10,$A326))</f>
        <v/>
      </c>
      <c r="C326" s="50" t="str">
        <f>IF($A326="","",IF($A326=1,Simulador!$B$11,$F325))</f>
        <v/>
      </c>
      <c r="D326" s="50" t="str">
        <f>IF($A326="","",$C326*Simulador!$B$18)</f>
        <v/>
      </c>
      <c r="E326" s="50" t="str">
        <f>IF($A326="","",MIN(Simulador!$B$19-$D326,$C326))</f>
        <v/>
      </c>
      <c r="F326" s="50" t="str">
        <f>IF($A326="","",MAX(0,$C326-$E326))</f>
        <v/>
      </c>
      <c r="G326" s="50" t="str">
        <f>IF($A326="","",$D326+$E326+Simulador!$B$15)</f>
        <v/>
      </c>
    </row>
    <row r="327" spans="1:7" x14ac:dyDescent="0.3">
      <c r="A327" s="48" t="str">
        <f>IF(ROW()-2&lt;=Simulador!$B$13,ROW()-2,"")</f>
        <v/>
      </c>
      <c r="B327" s="49" t="str">
        <f>IF($A327="","",EDATE(Simulador!$B$10,$A327))</f>
        <v/>
      </c>
      <c r="C327" s="50" t="str">
        <f>IF($A327="","",IF($A327=1,Simulador!$B$11,$F326))</f>
        <v/>
      </c>
      <c r="D327" s="50" t="str">
        <f>IF($A327="","",$C327*Simulador!$B$18)</f>
        <v/>
      </c>
      <c r="E327" s="50" t="str">
        <f>IF($A327="","",MIN(Simulador!$B$19-$D327,$C327))</f>
        <v/>
      </c>
      <c r="F327" s="50" t="str">
        <f>IF($A327="","",MAX(0,$C327-$E327))</f>
        <v/>
      </c>
      <c r="G327" s="50" t="str">
        <f>IF($A327="","",$D327+$E327+Simulador!$B$15)</f>
        <v/>
      </c>
    </row>
    <row r="328" spans="1:7" x14ac:dyDescent="0.3">
      <c r="A328" s="48" t="str">
        <f>IF(ROW()-2&lt;=Simulador!$B$13,ROW()-2,"")</f>
        <v/>
      </c>
      <c r="B328" s="49" t="str">
        <f>IF($A328="","",EDATE(Simulador!$B$10,$A328))</f>
        <v/>
      </c>
      <c r="C328" s="50" t="str">
        <f>IF($A328="","",IF($A328=1,Simulador!$B$11,$F327))</f>
        <v/>
      </c>
      <c r="D328" s="50" t="str">
        <f>IF($A328="","",$C328*Simulador!$B$18)</f>
        <v/>
      </c>
      <c r="E328" s="50" t="str">
        <f>IF($A328="","",MIN(Simulador!$B$19-$D328,$C328))</f>
        <v/>
      </c>
      <c r="F328" s="50" t="str">
        <f>IF($A328="","",MAX(0,$C328-$E328))</f>
        <v/>
      </c>
      <c r="G328" s="50" t="str">
        <f>IF($A328="","",$D328+$E328+Simulador!$B$15)</f>
        <v/>
      </c>
    </row>
    <row r="329" spans="1:7" x14ac:dyDescent="0.3">
      <c r="A329" s="48" t="str">
        <f>IF(ROW()-2&lt;=Simulador!$B$13,ROW()-2,"")</f>
        <v/>
      </c>
      <c r="B329" s="49" t="str">
        <f>IF($A329="","",EDATE(Simulador!$B$10,$A329))</f>
        <v/>
      </c>
      <c r="C329" s="50" t="str">
        <f>IF($A329="","",IF($A329=1,Simulador!$B$11,$F328))</f>
        <v/>
      </c>
      <c r="D329" s="50" t="str">
        <f>IF($A329="","",$C329*Simulador!$B$18)</f>
        <v/>
      </c>
      <c r="E329" s="50" t="str">
        <f>IF($A329="","",MIN(Simulador!$B$19-$D329,$C329))</f>
        <v/>
      </c>
      <c r="F329" s="50" t="str">
        <f>IF($A329="","",MAX(0,$C329-$E329))</f>
        <v/>
      </c>
      <c r="G329" s="50" t="str">
        <f>IF($A329="","",$D329+$E329+Simulador!$B$15)</f>
        <v/>
      </c>
    </row>
    <row r="330" spans="1:7" x14ac:dyDescent="0.3">
      <c r="A330" s="48" t="str">
        <f>IF(ROW()-2&lt;=Simulador!$B$13,ROW()-2,"")</f>
        <v/>
      </c>
      <c r="B330" s="49" t="str">
        <f>IF($A330="","",EDATE(Simulador!$B$10,$A330))</f>
        <v/>
      </c>
      <c r="C330" s="50" t="str">
        <f>IF($A330="","",IF($A330=1,Simulador!$B$11,$F329))</f>
        <v/>
      </c>
      <c r="D330" s="50" t="str">
        <f>IF($A330="","",$C330*Simulador!$B$18)</f>
        <v/>
      </c>
      <c r="E330" s="50" t="str">
        <f>IF($A330="","",MIN(Simulador!$B$19-$D330,$C330))</f>
        <v/>
      </c>
      <c r="F330" s="50" t="str">
        <f>IF($A330="","",MAX(0,$C330-$E330))</f>
        <v/>
      </c>
      <c r="G330" s="50" t="str">
        <f>IF($A330="","",$D330+$E330+Simulador!$B$15)</f>
        <v/>
      </c>
    </row>
    <row r="331" spans="1:7" x14ac:dyDescent="0.3">
      <c r="A331" s="48" t="str">
        <f>IF(ROW()-2&lt;=Simulador!$B$13,ROW()-2,"")</f>
        <v/>
      </c>
      <c r="B331" s="49" t="str">
        <f>IF($A331="","",EDATE(Simulador!$B$10,$A331))</f>
        <v/>
      </c>
      <c r="C331" s="50" t="str">
        <f>IF($A331="","",IF($A331=1,Simulador!$B$11,$F330))</f>
        <v/>
      </c>
      <c r="D331" s="50" t="str">
        <f>IF($A331="","",$C331*Simulador!$B$18)</f>
        <v/>
      </c>
      <c r="E331" s="50" t="str">
        <f>IF($A331="","",MIN(Simulador!$B$19-$D331,$C331))</f>
        <v/>
      </c>
      <c r="F331" s="50" t="str">
        <f>IF($A331="","",MAX(0,$C331-$E331))</f>
        <v/>
      </c>
      <c r="G331" s="50" t="str">
        <f>IF($A331="","",$D331+$E331+Simulador!$B$15)</f>
        <v/>
      </c>
    </row>
    <row r="332" spans="1:7" x14ac:dyDescent="0.3">
      <c r="A332" s="48" t="str">
        <f>IF(ROW()-2&lt;=Simulador!$B$13,ROW()-2,"")</f>
        <v/>
      </c>
      <c r="B332" s="49" t="str">
        <f>IF($A332="","",EDATE(Simulador!$B$10,$A332))</f>
        <v/>
      </c>
      <c r="C332" s="50" t="str">
        <f>IF($A332="","",IF($A332=1,Simulador!$B$11,$F331))</f>
        <v/>
      </c>
      <c r="D332" s="50" t="str">
        <f>IF($A332="","",$C332*Simulador!$B$18)</f>
        <v/>
      </c>
      <c r="E332" s="50" t="str">
        <f>IF($A332="","",MIN(Simulador!$B$19-$D332,$C332))</f>
        <v/>
      </c>
      <c r="F332" s="50" t="str">
        <f>IF($A332="","",MAX(0,$C332-$E332))</f>
        <v/>
      </c>
      <c r="G332" s="50" t="str">
        <f>IF($A332="","",$D332+$E332+Simulador!$B$15)</f>
        <v/>
      </c>
    </row>
    <row r="333" spans="1:7" x14ac:dyDescent="0.3">
      <c r="A333" s="48" t="str">
        <f>IF(ROW()-2&lt;=Simulador!$B$13,ROW()-2,"")</f>
        <v/>
      </c>
      <c r="B333" s="49" t="str">
        <f>IF($A333="","",EDATE(Simulador!$B$10,$A333))</f>
        <v/>
      </c>
      <c r="C333" s="50" t="str">
        <f>IF($A333="","",IF($A333=1,Simulador!$B$11,$F332))</f>
        <v/>
      </c>
      <c r="D333" s="50" t="str">
        <f>IF($A333="","",$C333*Simulador!$B$18)</f>
        <v/>
      </c>
      <c r="E333" s="50" t="str">
        <f>IF($A333="","",MIN(Simulador!$B$19-$D333,$C333))</f>
        <v/>
      </c>
      <c r="F333" s="50" t="str">
        <f>IF($A333="","",MAX(0,$C333-$E333))</f>
        <v/>
      </c>
      <c r="G333" s="50" t="str">
        <f>IF($A333="","",$D333+$E333+Simulador!$B$15)</f>
        <v/>
      </c>
    </row>
    <row r="334" spans="1:7" x14ac:dyDescent="0.3">
      <c r="A334" s="48" t="str">
        <f>IF(ROW()-2&lt;=Simulador!$B$13,ROW()-2,"")</f>
        <v/>
      </c>
      <c r="B334" s="49" t="str">
        <f>IF($A334="","",EDATE(Simulador!$B$10,$A334))</f>
        <v/>
      </c>
      <c r="C334" s="50" t="str">
        <f>IF($A334="","",IF($A334=1,Simulador!$B$11,$F333))</f>
        <v/>
      </c>
      <c r="D334" s="50" t="str">
        <f>IF($A334="","",$C334*Simulador!$B$18)</f>
        <v/>
      </c>
      <c r="E334" s="50" t="str">
        <f>IF($A334="","",MIN(Simulador!$B$19-$D334,$C334))</f>
        <v/>
      </c>
      <c r="F334" s="50" t="str">
        <f>IF($A334="","",MAX(0,$C334-$E334))</f>
        <v/>
      </c>
      <c r="G334" s="50" t="str">
        <f>IF($A334="","",$D334+$E334+Simulador!$B$15)</f>
        <v/>
      </c>
    </row>
    <row r="335" spans="1:7" x14ac:dyDescent="0.3">
      <c r="A335" s="48" t="str">
        <f>IF(ROW()-2&lt;=Simulador!$B$13,ROW()-2,"")</f>
        <v/>
      </c>
      <c r="B335" s="49" t="str">
        <f>IF($A335="","",EDATE(Simulador!$B$10,$A335))</f>
        <v/>
      </c>
      <c r="C335" s="50" t="str">
        <f>IF($A335="","",IF($A335=1,Simulador!$B$11,$F334))</f>
        <v/>
      </c>
      <c r="D335" s="50" t="str">
        <f>IF($A335="","",$C335*Simulador!$B$18)</f>
        <v/>
      </c>
      <c r="E335" s="50" t="str">
        <f>IF($A335="","",MIN(Simulador!$B$19-$D335,$C335))</f>
        <v/>
      </c>
      <c r="F335" s="50" t="str">
        <f>IF($A335="","",MAX(0,$C335-$E335))</f>
        <v/>
      </c>
      <c r="G335" s="50" t="str">
        <f>IF($A335="","",$D335+$E335+Simulador!$B$15)</f>
        <v/>
      </c>
    </row>
    <row r="336" spans="1:7" x14ac:dyDescent="0.3">
      <c r="A336" s="48" t="str">
        <f>IF(ROW()-2&lt;=Simulador!$B$13,ROW()-2,"")</f>
        <v/>
      </c>
      <c r="B336" s="49" t="str">
        <f>IF($A336="","",EDATE(Simulador!$B$10,$A336))</f>
        <v/>
      </c>
      <c r="C336" s="50" t="str">
        <f>IF($A336="","",IF($A336=1,Simulador!$B$11,$F335))</f>
        <v/>
      </c>
      <c r="D336" s="50" t="str">
        <f>IF($A336="","",$C336*Simulador!$B$18)</f>
        <v/>
      </c>
      <c r="E336" s="50" t="str">
        <f>IF($A336="","",MIN(Simulador!$B$19-$D336,$C336))</f>
        <v/>
      </c>
      <c r="F336" s="50" t="str">
        <f>IF($A336="","",MAX(0,$C336-$E336))</f>
        <v/>
      </c>
      <c r="G336" s="50" t="str">
        <f>IF($A336="","",$D336+$E336+Simulador!$B$15)</f>
        <v/>
      </c>
    </row>
    <row r="337" spans="1:7" x14ac:dyDescent="0.3">
      <c r="A337" s="48" t="str">
        <f>IF(ROW()-2&lt;=Simulador!$B$13,ROW()-2,"")</f>
        <v/>
      </c>
      <c r="B337" s="49" t="str">
        <f>IF($A337="","",EDATE(Simulador!$B$10,$A337))</f>
        <v/>
      </c>
      <c r="C337" s="50" t="str">
        <f>IF($A337="","",IF($A337=1,Simulador!$B$11,$F336))</f>
        <v/>
      </c>
      <c r="D337" s="50" t="str">
        <f>IF($A337="","",$C337*Simulador!$B$18)</f>
        <v/>
      </c>
      <c r="E337" s="50" t="str">
        <f>IF($A337="","",MIN(Simulador!$B$19-$D337,$C337))</f>
        <v/>
      </c>
      <c r="F337" s="50" t="str">
        <f>IF($A337="","",MAX(0,$C337-$E337))</f>
        <v/>
      </c>
      <c r="G337" s="50" t="str">
        <f>IF($A337="","",$D337+$E337+Simulador!$B$15)</f>
        <v/>
      </c>
    </row>
    <row r="338" spans="1:7" x14ac:dyDescent="0.3">
      <c r="A338" s="48" t="str">
        <f>IF(ROW()-2&lt;=Simulador!$B$13,ROW()-2,"")</f>
        <v/>
      </c>
      <c r="B338" s="49" t="str">
        <f>IF($A338="","",EDATE(Simulador!$B$10,$A338))</f>
        <v/>
      </c>
      <c r="C338" s="50" t="str">
        <f>IF($A338="","",IF($A338=1,Simulador!$B$11,$F337))</f>
        <v/>
      </c>
      <c r="D338" s="50" t="str">
        <f>IF($A338="","",$C338*Simulador!$B$18)</f>
        <v/>
      </c>
      <c r="E338" s="50" t="str">
        <f>IF($A338="","",MIN(Simulador!$B$19-$D338,$C338))</f>
        <v/>
      </c>
      <c r="F338" s="50" t="str">
        <f>IF($A338="","",MAX(0,$C338-$E338))</f>
        <v/>
      </c>
      <c r="G338" s="50" t="str">
        <f>IF($A338="","",$D338+$E338+Simulador!$B$15)</f>
        <v/>
      </c>
    </row>
    <row r="339" spans="1:7" x14ac:dyDescent="0.3">
      <c r="A339" s="48" t="str">
        <f>IF(ROW()-2&lt;=Simulador!$B$13,ROW()-2,"")</f>
        <v/>
      </c>
      <c r="B339" s="49" t="str">
        <f>IF($A339="","",EDATE(Simulador!$B$10,$A339))</f>
        <v/>
      </c>
      <c r="C339" s="50" t="str">
        <f>IF($A339="","",IF($A339=1,Simulador!$B$11,$F338))</f>
        <v/>
      </c>
      <c r="D339" s="50" t="str">
        <f>IF($A339="","",$C339*Simulador!$B$18)</f>
        <v/>
      </c>
      <c r="E339" s="50" t="str">
        <f>IF($A339="","",MIN(Simulador!$B$19-$D339,$C339))</f>
        <v/>
      </c>
      <c r="F339" s="50" t="str">
        <f>IF($A339="","",MAX(0,$C339-$E339))</f>
        <v/>
      </c>
      <c r="G339" s="50" t="str">
        <f>IF($A339="","",$D339+$E339+Simulador!$B$15)</f>
        <v/>
      </c>
    </row>
    <row r="340" spans="1:7" x14ac:dyDescent="0.3">
      <c r="A340" s="48" t="str">
        <f>IF(ROW()-2&lt;=Simulador!$B$13,ROW()-2,"")</f>
        <v/>
      </c>
      <c r="B340" s="49" t="str">
        <f>IF($A340="","",EDATE(Simulador!$B$10,$A340))</f>
        <v/>
      </c>
      <c r="C340" s="50" t="str">
        <f>IF($A340="","",IF($A340=1,Simulador!$B$11,$F339))</f>
        <v/>
      </c>
      <c r="D340" s="50" t="str">
        <f>IF($A340="","",$C340*Simulador!$B$18)</f>
        <v/>
      </c>
      <c r="E340" s="50" t="str">
        <f>IF($A340="","",MIN(Simulador!$B$19-$D340,$C340))</f>
        <v/>
      </c>
      <c r="F340" s="50" t="str">
        <f>IF($A340="","",MAX(0,$C340-$E340))</f>
        <v/>
      </c>
      <c r="G340" s="50" t="str">
        <f>IF($A340="","",$D340+$E340+Simulador!$B$15)</f>
        <v/>
      </c>
    </row>
    <row r="341" spans="1:7" x14ac:dyDescent="0.3">
      <c r="A341" s="48" t="str">
        <f>IF(ROW()-2&lt;=Simulador!$B$13,ROW()-2,"")</f>
        <v/>
      </c>
      <c r="B341" s="49" t="str">
        <f>IF($A341="","",EDATE(Simulador!$B$10,$A341))</f>
        <v/>
      </c>
      <c r="C341" s="50" t="str">
        <f>IF($A341="","",IF($A341=1,Simulador!$B$11,$F340))</f>
        <v/>
      </c>
      <c r="D341" s="50" t="str">
        <f>IF($A341="","",$C341*Simulador!$B$18)</f>
        <v/>
      </c>
      <c r="E341" s="50" t="str">
        <f>IF($A341="","",MIN(Simulador!$B$19-$D341,$C341))</f>
        <v/>
      </c>
      <c r="F341" s="50" t="str">
        <f>IF($A341="","",MAX(0,$C341-$E341))</f>
        <v/>
      </c>
      <c r="G341" s="50" t="str">
        <f>IF($A341="","",$D341+$E341+Simulador!$B$15)</f>
        <v/>
      </c>
    </row>
    <row r="342" spans="1:7" x14ac:dyDescent="0.3">
      <c r="A342" s="48" t="str">
        <f>IF(ROW()-2&lt;=Simulador!$B$13,ROW()-2,"")</f>
        <v/>
      </c>
      <c r="B342" s="49" t="str">
        <f>IF($A342="","",EDATE(Simulador!$B$10,$A342))</f>
        <v/>
      </c>
      <c r="C342" s="50" t="str">
        <f>IF($A342="","",IF($A342=1,Simulador!$B$11,$F341))</f>
        <v/>
      </c>
      <c r="D342" s="50" t="str">
        <f>IF($A342="","",$C342*Simulador!$B$18)</f>
        <v/>
      </c>
      <c r="E342" s="50" t="str">
        <f>IF($A342="","",MIN(Simulador!$B$19-$D342,$C342))</f>
        <v/>
      </c>
      <c r="F342" s="50" t="str">
        <f>IF($A342="","",MAX(0,$C342-$E342))</f>
        <v/>
      </c>
      <c r="G342" s="50" t="str">
        <f>IF($A342="","",$D342+$E342+Simulador!$B$15)</f>
        <v/>
      </c>
    </row>
    <row r="343" spans="1:7" x14ac:dyDescent="0.3">
      <c r="A343" s="48" t="str">
        <f>IF(ROW()-2&lt;=Simulador!$B$13,ROW()-2,"")</f>
        <v/>
      </c>
      <c r="B343" s="49" t="str">
        <f>IF($A343="","",EDATE(Simulador!$B$10,$A343))</f>
        <v/>
      </c>
      <c r="C343" s="50" t="str">
        <f>IF($A343="","",IF($A343=1,Simulador!$B$11,$F342))</f>
        <v/>
      </c>
      <c r="D343" s="50" t="str">
        <f>IF($A343="","",$C343*Simulador!$B$18)</f>
        <v/>
      </c>
      <c r="E343" s="50" t="str">
        <f>IF($A343="","",MIN(Simulador!$B$19-$D343,$C343))</f>
        <v/>
      </c>
      <c r="F343" s="50" t="str">
        <f>IF($A343="","",MAX(0,$C343-$E343))</f>
        <v/>
      </c>
      <c r="G343" s="50" t="str">
        <f>IF($A343="","",$D343+$E343+Simulador!$B$15)</f>
        <v/>
      </c>
    </row>
    <row r="344" spans="1:7" x14ac:dyDescent="0.3">
      <c r="A344" s="48" t="str">
        <f>IF(ROW()-2&lt;=Simulador!$B$13,ROW()-2,"")</f>
        <v/>
      </c>
      <c r="B344" s="49" t="str">
        <f>IF($A344="","",EDATE(Simulador!$B$10,$A344))</f>
        <v/>
      </c>
      <c r="C344" s="50" t="str">
        <f>IF($A344="","",IF($A344=1,Simulador!$B$11,$F343))</f>
        <v/>
      </c>
      <c r="D344" s="50" t="str">
        <f>IF($A344="","",$C344*Simulador!$B$18)</f>
        <v/>
      </c>
      <c r="E344" s="50" t="str">
        <f>IF($A344="","",MIN(Simulador!$B$19-$D344,$C344))</f>
        <v/>
      </c>
      <c r="F344" s="50" t="str">
        <f>IF($A344="","",MAX(0,$C344-$E344))</f>
        <v/>
      </c>
      <c r="G344" s="50" t="str">
        <f>IF($A344="","",$D344+$E344+Simulador!$B$15)</f>
        <v/>
      </c>
    </row>
    <row r="345" spans="1:7" x14ac:dyDescent="0.3">
      <c r="A345" s="48" t="str">
        <f>IF(ROW()-2&lt;=Simulador!$B$13,ROW()-2,"")</f>
        <v/>
      </c>
      <c r="B345" s="49" t="str">
        <f>IF($A345="","",EDATE(Simulador!$B$10,$A345))</f>
        <v/>
      </c>
      <c r="C345" s="50" t="str">
        <f>IF($A345="","",IF($A345=1,Simulador!$B$11,$F344))</f>
        <v/>
      </c>
      <c r="D345" s="50" t="str">
        <f>IF($A345="","",$C345*Simulador!$B$18)</f>
        <v/>
      </c>
      <c r="E345" s="50" t="str">
        <f>IF($A345="","",MIN(Simulador!$B$19-$D345,$C345))</f>
        <v/>
      </c>
      <c r="F345" s="50" t="str">
        <f>IF($A345="","",MAX(0,$C345-$E345))</f>
        <v/>
      </c>
      <c r="G345" s="50" t="str">
        <f>IF($A345="","",$D345+$E345+Simulador!$B$15)</f>
        <v/>
      </c>
    </row>
    <row r="346" spans="1:7" x14ac:dyDescent="0.3">
      <c r="A346" s="48" t="str">
        <f>IF(ROW()-2&lt;=Simulador!$B$13,ROW()-2,"")</f>
        <v/>
      </c>
      <c r="B346" s="49" t="str">
        <f>IF($A346="","",EDATE(Simulador!$B$10,$A346))</f>
        <v/>
      </c>
      <c r="C346" s="50" t="str">
        <f>IF($A346="","",IF($A346=1,Simulador!$B$11,$F345))</f>
        <v/>
      </c>
      <c r="D346" s="50" t="str">
        <f>IF($A346="","",$C346*Simulador!$B$18)</f>
        <v/>
      </c>
      <c r="E346" s="50" t="str">
        <f>IF($A346="","",MIN(Simulador!$B$19-$D346,$C346))</f>
        <v/>
      </c>
      <c r="F346" s="50" t="str">
        <f>IF($A346="","",MAX(0,$C346-$E346))</f>
        <v/>
      </c>
      <c r="G346" s="50" t="str">
        <f>IF($A346="","",$D346+$E346+Simulador!$B$15)</f>
        <v/>
      </c>
    </row>
    <row r="347" spans="1:7" x14ac:dyDescent="0.3">
      <c r="A347" s="48" t="str">
        <f>IF(ROW()-2&lt;=Simulador!$B$13,ROW()-2,"")</f>
        <v/>
      </c>
      <c r="B347" s="49" t="str">
        <f>IF($A347="","",EDATE(Simulador!$B$10,$A347))</f>
        <v/>
      </c>
      <c r="C347" s="50" t="str">
        <f>IF($A347="","",IF($A347=1,Simulador!$B$11,$F346))</f>
        <v/>
      </c>
      <c r="D347" s="50" t="str">
        <f>IF($A347="","",$C347*Simulador!$B$18)</f>
        <v/>
      </c>
      <c r="E347" s="50" t="str">
        <f>IF($A347="","",MIN(Simulador!$B$19-$D347,$C347))</f>
        <v/>
      </c>
      <c r="F347" s="50" t="str">
        <f>IF($A347="","",MAX(0,$C347-$E347))</f>
        <v/>
      </c>
      <c r="G347" s="50" t="str">
        <f>IF($A347="","",$D347+$E347+Simulador!$B$15)</f>
        <v/>
      </c>
    </row>
    <row r="348" spans="1:7" x14ac:dyDescent="0.3">
      <c r="A348" s="48" t="str">
        <f>IF(ROW()-2&lt;=Simulador!$B$13,ROW()-2,"")</f>
        <v/>
      </c>
      <c r="B348" s="49" t="str">
        <f>IF($A348="","",EDATE(Simulador!$B$10,$A348))</f>
        <v/>
      </c>
      <c r="C348" s="50" t="str">
        <f>IF($A348="","",IF($A348=1,Simulador!$B$11,$F347))</f>
        <v/>
      </c>
      <c r="D348" s="50" t="str">
        <f>IF($A348="","",$C348*Simulador!$B$18)</f>
        <v/>
      </c>
      <c r="E348" s="50" t="str">
        <f>IF($A348="","",MIN(Simulador!$B$19-$D348,$C348))</f>
        <v/>
      </c>
      <c r="F348" s="50" t="str">
        <f>IF($A348="","",MAX(0,$C348-$E348))</f>
        <v/>
      </c>
      <c r="G348" s="50" t="str">
        <f>IF($A348="","",$D348+$E348+Simulador!$B$15)</f>
        <v/>
      </c>
    </row>
    <row r="349" spans="1:7" x14ac:dyDescent="0.3">
      <c r="A349" s="48" t="str">
        <f>IF(ROW()-2&lt;=Simulador!$B$13,ROW()-2,"")</f>
        <v/>
      </c>
      <c r="B349" s="49" t="str">
        <f>IF($A349="","",EDATE(Simulador!$B$10,$A349))</f>
        <v/>
      </c>
      <c r="C349" s="50" t="str">
        <f>IF($A349="","",IF($A349=1,Simulador!$B$11,$F348))</f>
        <v/>
      </c>
      <c r="D349" s="50" t="str">
        <f>IF($A349="","",$C349*Simulador!$B$18)</f>
        <v/>
      </c>
      <c r="E349" s="50" t="str">
        <f>IF($A349="","",MIN(Simulador!$B$19-$D349,$C349))</f>
        <v/>
      </c>
      <c r="F349" s="50" t="str">
        <f>IF($A349="","",MAX(0,$C349-$E349))</f>
        <v/>
      </c>
      <c r="G349" s="50" t="str">
        <f>IF($A349="","",$D349+$E349+Simulador!$B$15)</f>
        <v/>
      </c>
    </row>
    <row r="350" spans="1:7" x14ac:dyDescent="0.3">
      <c r="A350" s="48" t="str">
        <f>IF(ROW()-2&lt;=Simulador!$B$13,ROW()-2,"")</f>
        <v/>
      </c>
      <c r="B350" s="49" t="str">
        <f>IF($A350="","",EDATE(Simulador!$B$10,$A350))</f>
        <v/>
      </c>
      <c r="C350" s="50" t="str">
        <f>IF($A350="","",IF($A350=1,Simulador!$B$11,$F349))</f>
        <v/>
      </c>
      <c r="D350" s="50" t="str">
        <f>IF($A350="","",$C350*Simulador!$B$18)</f>
        <v/>
      </c>
      <c r="E350" s="50" t="str">
        <f>IF($A350="","",MIN(Simulador!$B$19-$D350,$C350))</f>
        <v/>
      </c>
      <c r="F350" s="50" t="str">
        <f>IF($A350="","",MAX(0,$C350-$E350))</f>
        <v/>
      </c>
      <c r="G350" s="50" t="str">
        <f>IF($A350="","",$D350+$E350+Simulador!$B$15)</f>
        <v/>
      </c>
    </row>
    <row r="351" spans="1:7" x14ac:dyDescent="0.3">
      <c r="A351" s="48" t="str">
        <f>IF(ROW()-2&lt;=Simulador!$B$13,ROW()-2,"")</f>
        <v/>
      </c>
      <c r="B351" s="49" t="str">
        <f>IF($A351="","",EDATE(Simulador!$B$10,$A351))</f>
        <v/>
      </c>
      <c r="C351" s="50" t="str">
        <f>IF($A351="","",IF($A351=1,Simulador!$B$11,$F350))</f>
        <v/>
      </c>
      <c r="D351" s="50" t="str">
        <f>IF($A351="","",$C351*Simulador!$B$18)</f>
        <v/>
      </c>
      <c r="E351" s="50" t="str">
        <f>IF($A351="","",MIN(Simulador!$B$19-$D351,$C351))</f>
        <v/>
      </c>
      <c r="F351" s="50" t="str">
        <f>IF($A351="","",MAX(0,$C351-$E351))</f>
        <v/>
      </c>
      <c r="G351" s="50" t="str">
        <f>IF($A351="","",$D351+$E351+Simulador!$B$15)</f>
        <v/>
      </c>
    </row>
    <row r="352" spans="1:7" x14ac:dyDescent="0.3">
      <c r="A352" s="48" t="str">
        <f>IF(ROW()-2&lt;=Simulador!$B$13,ROW()-2,"")</f>
        <v/>
      </c>
      <c r="B352" s="49" t="str">
        <f>IF($A352="","",EDATE(Simulador!$B$10,$A352))</f>
        <v/>
      </c>
      <c r="C352" s="50" t="str">
        <f>IF($A352="","",IF($A352=1,Simulador!$B$11,$F351))</f>
        <v/>
      </c>
      <c r="D352" s="50" t="str">
        <f>IF($A352="","",$C352*Simulador!$B$18)</f>
        <v/>
      </c>
      <c r="E352" s="50" t="str">
        <f>IF($A352="","",MIN(Simulador!$B$19-$D352,$C352))</f>
        <v/>
      </c>
      <c r="F352" s="50" t="str">
        <f>IF($A352="","",MAX(0,$C352-$E352))</f>
        <v/>
      </c>
      <c r="G352" s="50" t="str">
        <f>IF($A352="","",$D352+$E352+Simulador!$B$15)</f>
        <v/>
      </c>
    </row>
    <row r="353" spans="1:7" x14ac:dyDescent="0.3">
      <c r="A353" s="48" t="str">
        <f>IF(ROW()-2&lt;=Simulador!$B$13,ROW()-2,"")</f>
        <v/>
      </c>
      <c r="B353" s="49" t="str">
        <f>IF($A353="","",EDATE(Simulador!$B$10,$A353))</f>
        <v/>
      </c>
      <c r="C353" s="50" t="str">
        <f>IF($A353="","",IF($A353=1,Simulador!$B$11,$F352))</f>
        <v/>
      </c>
      <c r="D353" s="50" t="str">
        <f>IF($A353="","",$C353*Simulador!$B$18)</f>
        <v/>
      </c>
      <c r="E353" s="50" t="str">
        <f>IF($A353="","",MIN(Simulador!$B$19-$D353,$C353))</f>
        <v/>
      </c>
      <c r="F353" s="50" t="str">
        <f>IF($A353="","",MAX(0,$C353-$E353))</f>
        <v/>
      </c>
      <c r="G353" s="50" t="str">
        <f>IF($A353="","",$D353+$E353+Simulador!$B$15)</f>
        <v/>
      </c>
    </row>
    <row r="354" spans="1:7" x14ac:dyDescent="0.3">
      <c r="A354" s="48" t="str">
        <f>IF(ROW()-2&lt;=Simulador!$B$13,ROW()-2,"")</f>
        <v/>
      </c>
      <c r="B354" s="49" t="str">
        <f>IF($A354="","",EDATE(Simulador!$B$10,$A354))</f>
        <v/>
      </c>
      <c r="C354" s="50" t="str">
        <f>IF($A354="","",IF($A354=1,Simulador!$B$11,$F353))</f>
        <v/>
      </c>
      <c r="D354" s="50" t="str">
        <f>IF($A354="","",$C354*Simulador!$B$18)</f>
        <v/>
      </c>
      <c r="E354" s="50" t="str">
        <f>IF($A354="","",MIN(Simulador!$B$19-$D354,$C354))</f>
        <v/>
      </c>
      <c r="F354" s="50" t="str">
        <f>IF($A354="","",MAX(0,$C354-$E354))</f>
        <v/>
      </c>
      <c r="G354" s="50" t="str">
        <f>IF($A354="","",$D354+$E354+Simulador!$B$15)</f>
        <v/>
      </c>
    </row>
    <row r="355" spans="1:7" x14ac:dyDescent="0.3">
      <c r="A355" s="48" t="str">
        <f>IF(ROW()-2&lt;=Simulador!$B$13,ROW()-2,"")</f>
        <v/>
      </c>
      <c r="B355" s="49" t="str">
        <f>IF($A355="","",EDATE(Simulador!$B$10,$A355))</f>
        <v/>
      </c>
      <c r="C355" s="50" t="str">
        <f>IF($A355="","",IF($A355=1,Simulador!$B$11,$F354))</f>
        <v/>
      </c>
      <c r="D355" s="50" t="str">
        <f>IF($A355="","",$C355*Simulador!$B$18)</f>
        <v/>
      </c>
      <c r="E355" s="50" t="str">
        <f>IF($A355="","",MIN(Simulador!$B$19-$D355,$C355))</f>
        <v/>
      </c>
      <c r="F355" s="50" t="str">
        <f>IF($A355="","",MAX(0,$C355-$E355))</f>
        <v/>
      </c>
      <c r="G355" s="50" t="str">
        <f>IF($A355="","",$D355+$E355+Simulador!$B$15)</f>
        <v/>
      </c>
    </row>
    <row r="356" spans="1:7" x14ac:dyDescent="0.3">
      <c r="A356" s="48" t="str">
        <f>IF(ROW()-2&lt;=Simulador!$B$13,ROW()-2,"")</f>
        <v/>
      </c>
      <c r="B356" s="49" t="str">
        <f>IF($A356="","",EDATE(Simulador!$B$10,$A356))</f>
        <v/>
      </c>
      <c r="C356" s="50" t="str">
        <f>IF($A356="","",IF($A356=1,Simulador!$B$11,$F355))</f>
        <v/>
      </c>
      <c r="D356" s="50" t="str">
        <f>IF($A356="","",$C356*Simulador!$B$18)</f>
        <v/>
      </c>
      <c r="E356" s="50" t="str">
        <f>IF($A356="","",MIN(Simulador!$B$19-$D356,$C356))</f>
        <v/>
      </c>
      <c r="F356" s="50" t="str">
        <f>IF($A356="","",MAX(0,$C356-$E356))</f>
        <v/>
      </c>
      <c r="G356" s="50" t="str">
        <f>IF($A356="","",$D356+$E356+Simulador!$B$15)</f>
        <v/>
      </c>
    </row>
    <row r="357" spans="1:7" x14ac:dyDescent="0.3">
      <c r="A357" s="48" t="str">
        <f>IF(ROW()-2&lt;=Simulador!$B$13,ROW()-2,"")</f>
        <v/>
      </c>
      <c r="B357" s="49" t="str">
        <f>IF($A357="","",EDATE(Simulador!$B$10,$A357))</f>
        <v/>
      </c>
      <c r="C357" s="50" t="str">
        <f>IF($A357="","",IF($A357=1,Simulador!$B$11,$F356))</f>
        <v/>
      </c>
      <c r="D357" s="50" t="str">
        <f>IF($A357="","",$C357*Simulador!$B$18)</f>
        <v/>
      </c>
      <c r="E357" s="50" t="str">
        <f>IF($A357="","",MIN(Simulador!$B$19-$D357,$C357))</f>
        <v/>
      </c>
      <c r="F357" s="50" t="str">
        <f>IF($A357="","",MAX(0,$C357-$E357))</f>
        <v/>
      </c>
      <c r="G357" s="50" t="str">
        <f>IF($A357="","",$D357+$E357+Simulador!$B$15)</f>
        <v/>
      </c>
    </row>
    <row r="358" spans="1:7" x14ac:dyDescent="0.3">
      <c r="A358" s="48" t="str">
        <f>IF(ROW()-2&lt;=Simulador!$B$13,ROW()-2,"")</f>
        <v/>
      </c>
      <c r="B358" s="49" t="str">
        <f>IF($A358="","",EDATE(Simulador!$B$10,$A358))</f>
        <v/>
      </c>
      <c r="C358" s="50" t="str">
        <f>IF($A358="","",IF($A358=1,Simulador!$B$11,$F357))</f>
        <v/>
      </c>
      <c r="D358" s="50" t="str">
        <f>IF($A358="","",$C358*Simulador!$B$18)</f>
        <v/>
      </c>
      <c r="E358" s="50" t="str">
        <f>IF($A358="","",MIN(Simulador!$B$19-$D358,$C358))</f>
        <v/>
      </c>
      <c r="F358" s="50" t="str">
        <f>IF($A358="","",MAX(0,$C358-$E358))</f>
        <v/>
      </c>
      <c r="G358" s="50" t="str">
        <f>IF($A358="","",$D358+$E358+Simulador!$B$15)</f>
        <v/>
      </c>
    </row>
    <row r="359" spans="1:7" x14ac:dyDescent="0.3">
      <c r="A359" s="48" t="str">
        <f>IF(ROW()-2&lt;=Simulador!$B$13,ROW()-2,"")</f>
        <v/>
      </c>
      <c r="B359" s="49" t="str">
        <f>IF($A359="","",EDATE(Simulador!$B$10,$A359))</f>
        <v/>
      </c>
      <c r="C359" s="50" t="str">
        <f>IF($A359="","",IF($A359=1,Simulador!$B$11,$F358))</f>
        <v/>
      </c>
      <c r="D359" s="50" t="str">
        <f>IF($A359="","",$C359*Simulador!$B$18)</f>
        <v/>
      </c>
      <c r="E359" s="50" t="str">
        <f>IF($A359="","",MIN(Simulador!$B$19-$D359,$C359))</f>
        <v/>
      </c>
      <c r="F359" s="50" t="str">
        <f>IF($A359="","",MAX(0,$C359-$E359))</f>
        <v/>
      </c>
      <c r="G359" s="50" t="str">
        <f>IF($A359="","",$D359+$E359+Simulador!$B$15)</f>
        <v/>
      </c>
    </row>
    <row r="360" spans="1:7" x14ac:dyDescent="0.3">
      <c r="A360" s="48" t="str">
        <f>IF(ROW()-2&lt;=Simulador!$B$13,ROW()-2,"")</f>
        <v/>
      </c>
      <c r="B360" s="49" t="str">
        <f>IF($A360="","",EDATE(Simulador!$B$10,$A360))</f>
        <v/>
      </c>
      <c r="C360" s="50" t="str">
        <f>IF($A360="","",IF($A360=1,Simulador!$B$11,$F359))</f>
        <v/>
      </c>
      <c r="D360" s="50" t="str">
        <f>IF($A360="","",$C360*Simulador!$B$18)</f>
        <v/>
      </c>
      <c r="E360" s="50" t="str">
        <f>IF($A360="","",MIN(Simulador!$B$19-$D360,$C360))</f>
        <v/>
      </c>
      <c r="F360" s="50" t="str">
        <f>IF($A360="","",MAX(0,$C360-$E360))</f>
        <v/>
      </c>
      <c r="G360" s="50" t="str">
        <f>IF($A360="","",$D360+$E360+Simulador!$B$15)</f>
        <v/>
      </c>
    </row>
    <row r="361" spans="1:7" x14ac:dyDescent="0.3">
      <c r="A361" s="48" t="str">
        <f>IF(ROW()-2&lt;=Simulador!$B$13,ROW()-2,"")</f>
        <v/>
      </c>
      <c r="B361" s="49" t="str">
        <f>IF($A361="","",EDATE(Simulador!$B$10,$A361))</f>
        <v/>
      </c>
      <c r="C361" s="50" t="str">
        <f>IF($A361="","",IF($A361=1,Simulador!$B$11,$F360))</f>
        <v/>
      </c>
      <c r="D361" s="50" t="str">
        <f>IF($A361="","",$C361*Simulador!$B$18)</f>
        <v/>
      </c>
      <c r="E361" s="50" t="str">
        <f>IF($A361="","",MIN(Simulador!$B$19-$D361,$C361))</f>
        <v/>
      </c>
      <c r="F361" s="50" t="str">
        <f>IF($A361="","",MAX(0,$C361-$E361))</f>
        <v/>
      </c>
      <c r="G361" s="50" t="str">
        <f>IF($A361="","",$D361+$E361+Simulador!$B$15)</f>
        <v/>
      </c>
    </row>
    <row r="362" spans="1:7" x14ac:dyDescent="0.3">
      <c r="A362" s="4" t="str">
        <f>IF(ROW()-2&lt;=Simulador!$B$13,ROW()-2,"")</f>
        <v/>
      </c>
      <c r="B362" s="5" t="str">
        <f>IF($A362="","",EDATE(Simulador!$B$10,$A362))</f>
        <v/>
      </c>
      <c r="C362" s="6" t="str">
        <f>IF($A362="","",IF($A362=1,Simulador!$B$11,$F361))</f>
        <v/>
      </c>
      <c r="D362" s="6" t="str">
        <f>IF($A362="","",$C362*Simulador!$B$18)</f>
        <v/>
      </c>
      <c r="E362" s="6" t="str">
        <f>IF($A362="","",MIN(Simulador!$B$19-$D362,$C362))</f>
        <v/>
      </c>
      <c r="F362" s="6" t="str">
        <f>IF($A362="","",MAX(0,$C362-$E362))</f>
        <v/>
      </c>
      <c r="G362" s="6" t="str">
        <f>IF($A362="","",$D362+$E362+Simulador!$B$15)</f>
        <v/>
      </c>
    </row>
  </sheetData>
  <autoFilter ref="A2:G362" xr:uid="{9BC6F44E-C8B7-47CD-A8C7-A046A87E27AE}"/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Clientes</vt:lpstr>
      <vt:lpstr>Empréstimos</vt:lpstr>
      <vt:lpstr>Simulador</vt:lpstr>
      <vt:lpstr>Amortização</vt:lpstr>
      <vt:lpstr>ListaClientes</vt:lpstr>
      <vt:lpstr>ListaEmprestimos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Ripardo</dc:creator>
  <cp:lastModifiedBy>Luiz Felipe Ripardo</cp:lastModifiedBy>
  <dcterms:created xsi:type="dcterms:W3CDTF">2026-08-02T17:48:10Z</dcterms:created>
  <dcterms:modified xsi:type="dcterms:W3CDTF">2026-08-02T19:07:25Z</dcterms:modified>
</cp:coreProperties>
</file>